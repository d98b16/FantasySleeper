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raft Plan (You @ 3)" sheetId="1" state="visible" r:id="rId3"/>
    <sheet name="Big Board" sheetId="2" state="visible" r:id="rId4"/>
    <sheet name="Live Tracker" sheetId="3" state="visible" r:id="rId5"/>
    <sheet name="By Position" sheetId="4" state="visible" r:id="rId6"/>
    <sheet name="Sleepers • Values • Fades" sheetId="5" state="visible" r:id="rId7"/>
    <sheet name="FAAB ($100)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<sst xmlns="http://schemas.openxmlformats.org/spreadsheetml/2006/main" count="1216" uniqueCount="478">
  <si>
    <t xml:space="preserve">2026 FANTASY DRAFT CHEAT SHEET  —  Pick #3, Snake</t>
  </si>
  <si>
    <t xml:space="preserve">VERIFIED FROM SLEEPER — "GovSmart Gridiron":  12-team snake  •  0.5 PPR  •  6-PT passing TDs  •  $100 FAAB  •  your slot #3  •  draft Fri Sep 4, 5:30 PM ET, 90s pick timer.   ROSTER: QB / RB / RB / WR / WR / TE / FLEX / DEF + 4 BENCH — only 12 rounds, NO KICKER, and a DEFENSE is a required starter. 2 IR slots let you stash an injured guy. 6-pt pass TDs lift every QB — take a top-6 QB by rounds 5-8.</t>
  </si>
  <si>
    <t xml:space="preserve">YOUR 12 PICKS (slot 3, snake):  R1 #3  •  R2 #22  •  R3 #27  •  R4 #46  •  R5 #51  •  R6 #70  •  R7 #75  •  R8 #94  •  R9 #99  •  R10 #118  •  R11 #123  •  R12 #142   —  that's the whole draft.</t>
  </si>
  <si>
    <t xml:space="preserve">Rd</t>
  </si>
  <si>
    <t xml:space="preserve">Your Pick</t>
  </si>
  <si>
    <t xml:space="preserve">On Board (ADP)</t>
  </si>
  <si>
    <t xml:space="preserve">BEST TARGET (take one)</t>
  </si>
  <si>
    <t xml:space="preserve">Fallbacks / Best Available</t>
  </si>
  <si>
    <t xml:space="preserve">Plan</t>
  </si>
  <si>
    <t xml:space="preserve">1</t>
  </si>
  <si>
    <t xml:space="preserve">3</t>
  </si>
  <si>
    <t xml:space="preserve">1-6</t>
  </si>
  <si>
    <t xml:space="preserve">Ja'Marr Chase or Puka Nacua (elite WR1)</t>
  </si>
  <si>
    <t xml:space="preserve">Jaxon Smith-Njigba; Bijan Robinson if he slips</t>
  </si>
  <si>
    <t xml:space="preserve">Gibbs &amp; Bijan usually gone 1-2. Lock an elite WR. Don't overthink it.</t>
  </si>
  <si>
    <t xml:space="preserve">2</t>
  </si>
  <si>
    <t xml:space="preserve">22</t>
  </si>
  <si>
    <t xml:space="preserve">18-25</t>
  </si>
  <si>
    <t xml:space="preserve">Kenneth Walker III or Omarion Hampton (anchor an RB)</t>
  </si>
  <si>
    <t xml:space="preserve">Ashton Jeanty if he slides (ankle discount); Nico Collins / A.J. Brown (WR)</t>
  </si>
  <si>
    <t xml:space="preserve">RB dries up fast. Grab your RB1 at the turn.</t>
  </si>
  <si>
    <t xml:space="preserve">27</t>
  </si>
  <si>
    <t xml:space="preserve">24-31</t>
  </si>
  <si>
    <t xml:space="preserve">Malik Nabers or Zay Flowers (WR); Kyren Williams (RB)</t>
  </si>
  <si>
    <t xml:space="preserve">Chris Olave; Jeremiyah Love; DeVonta Smith</t>
  </si>
  <si>
    <t xml:space="preserve">You pick 22 &amp; 27 back-to-back. Take whichever position you skipped at 22.</t>
  </si>
  <si>
    <t xml:space="preserve">4</t>
  </si>
  <si>
    <t xml:space="preserve">46</t>
  </si>
  <si>
    <t xml:space="preserve">43-52</t>
  </si>
  <si>
    <t xml:space="preserve">Brock Bowers (elite-TE edge) OR Terry McLaurin / DJ Moore (WR)</t>
  </si>
  <si>
    <t xml:space="preserve">Bucky Irving; Quinshon Judkins (RB)</t>
  </si>
  <si>
    <t xml:space="preserve">Only 12 rounds — Bowers here locks TE and frees every later pick.</t>
  </si>
  <si>
    <t xml:space="preserve">5</t>
  </si>
  <si>
    <t xml:space="preserve">51</t>
  </si>
  <si>
    <t xml:space="preserve">48-58</t>
  </si>
  <si>
    <t xml:space="preserve">Lamar Jackson (6-pt pass-TD stud) if he slides — or RB Quinshon Judkins / WR Mike Evans</t>
  </si>
  <si>
    <t xml:space="preserve">Drake Maye / Joe Burrow; David Montgomery; Bhayshul Tuten</t>
  </si>
  <si>
    <t xml:space="preserve">Elite QB is worth it in your format. Don't leave QB past round 8.</t>
  </si>
  <si>
    <t xml:space="preserve">6</t>
  </si>
  <si>
    <t xml:space="preserve">70</t>
  </si>
  <si>
    <t xml:space="preserve">60-72</t>
  </si>
  <si>
    <t xml:space="preserve">DK Metcalf / Marvin Harrison Jr. (WR upside)</t>
  </si>
  <si>
    <t xml:space="preserve">Dak Prescott / Jayden Daniels (QB); TreVeyon Henderson (RB)</t>
  </si>
  <si>
    <t xml:space="preserve">Fill your last open starting WR or RB here.</t>
  </si>
  <si>
    <t xml:space="preserve">7</t>
  </si>
  <si>
    <t xml:space="preserve">75</t>
  </si>
  <si>
    <t xml:space="preserve">72-80</t>
  </si>
  <si>
    <t xml:space="preserve">Jordan Addison / Jayden Reed (WR)</t>
  </si>
  <si>
    <t xml:space="preserve">Tony Pollard (RB); a starting TE if you still need one</t>
  </si>
  <si>
    <t xml:space="preserve">Bench is only 4 deep — starters beat lottery tickets.</t>
  </si>
  <si>
    <t xml:space="preserve">8</t>
  </si>
  <si>
    <t xml:space="preserve">94</t>
  </si>
  <si>
    <t xml:space="preserve">87-99</t>
  </si>
  <si>
    <t xml:space="preserve">Jalen Hurts or Jayden Daniels (QB) — if you waited</t>
  </si>
  <si>
    <t xml:space="preserve">Matthew Golden / Khalil Shakir (WR); Chuba Hubbard (RB)</t>
  </si>
  <si>
    <t xml:space="preserve">Last comfortable QB window. Hurts/Daniels here is a steal in 6-pt.</t>
  </si>
  <si>
    <t xml:space="preserve">9</t>
  </si>
  <si>
    <t xml:space="preserve">99</t>
  </si>
  <si>
    <t xml:space="preserve">94-104</t>
  </si>
  <si>
    <t xml:space="preserve">Best FLEX — Tyler Warren (TE) or Makai Lemon / Matthew Golden (WR)</t>
  </si>
  <si>
    <t xml:space="preserve">Patrick Mahomes if QB still open; an RB handcuff</t>
  </si>
  <si>
    <t xml:space="preserve">Your 7 offensive starters should be filled by the end of this pick.</t>
  </si>
  <si>
    <t xml:space="preserve">10</t>
  </si>
  <si>
    <t xml:space="preserve">118</t>
  </si>
  <si>
    <t xml:space="preserve">110-123</t>
  </si>
  <si>
    <t xml:space="preserve">Handcuff your RB1/RB2 (RJ Harvey, Jonathon Brooks)</t>
  </si>
  <si>
    <t xml:space="preserve">Kyle Pitts (TE2); Justin Herbert / Bo Nix (QB2)</t>
  </si>
  <si>
    <t xml:space="preserve">Only 4 bench spots — protect the studs you already paid for.</t>
  </si>
  <si>
    <t xml:space="preserve">11</t>
  </si>
  <si>
    <t xml:space="preserve">123</t>
  </si>
  <si>
    <t xml:space="preserve">Best avail.</t>
  </si>
  <si>
    <t xml:space="preserve">Best upside swing left on the board</t>
  </si>
  <si>
    <t xml:space="preserve">2nd TE or QB if you're thin there</t>
  </si>
  <si>
    <t xml:space="preserve">Last real value pick. Ceiling over floor.</t>
  </si>
  <si>
    <t xml:space="preserve">12</t>
  </si>
  <si>
    <t xml:space="preserve">142</t>
  </si>
  <si>
    <t xml:space="preserve">Last pick</t>
  </si>
  <si>
    <t xml:space="preserve">DEFENSE — Seattle / Denver / Houston (best Week-1 matchup)</t>
  </si>
  <si>
    <t xml:space="preserve">—</t>
  </si>
  <si>
    <t xml:space="preserve">NO KICKER in this league. DEF is a required starter — this is the pick for it.</t>
  </si>
  <si>
    <t xml:space="preserve">TURN SCENARIOS — PICKS 22 &amp; 27 (you pick back-to-back)</t>
  </si>
  <si>
    <t xml:space="preserve">DEFAULT (you took a WR at 3): leave the 22/27 turn with an RB anchor + one more stud.  Ideal pairs: Walker + Nabers  ·  Hampton + Kyren  ·  Jacobs + Olave.</t>
  </si>
  <si>
    <t xml:space="preserve">CHASE AND NACUA BOTH GONE AT 3: take Jaxon Smith-Njigba. Do NOT reach for an RB at 3 — the Tier-1 WR still wins the pick.</t>
  </si>
  <si>
    <t xml:space="preserve">GIBBS OR BIJAN SLIDES TO 3: take him. Then go WR + WR at 22/27 (A.J. Brown / Nico + Nabers / Flowers) — your RB1 is already banked.</t>
  </si>
  <si>
    <t xml:space="preserve">JEANTY FALLS TO 22: ankle discount, not a red flag — and you have 2 IR slots, so a slow start is survivable. Otherwise Walker is the safe anchor.</t>
  </si>
  <si>
    <t xml:space="preserve">ROSTER SHAPE: 12 rounds, 8 starters (QB/RB/RB/WR/WR/TE/FLEX/DEF), 4 bench, NO KICKER. Every pick is a roster spot — there is no room for dead weight.</t>
  </si>
  <si>
    <t xml:space="preserve">BIG BOARD — 2026 Half-PPR (Top 120)</t>
  </si>
  <si>
    <t xml:space="preserve">Drafted? (col I): x for EVERY pick by anyone — greys the row out.  MINE? (col J): x for YOUR picks — turns green and feeds the Live Tracker tab.  ADP = live 12-team half-PPR market thru ~#60 (refreshed Aug 27); 61+ = expert consensus.  QBs carry a 6-pt pass-TD bump.</t>
  </si>
  <si>
    <t xml:space="preserve">Rank</t>
  </si>
  <si>
    <t xml:space="preserve">Tier</t>
  </si>
  <si>
    <t xml:space="preserve">Player</t>
  </si>
  <si>
    <t xml:space="preserve">Pos</t>
  </si>
  <si>
    <t xml:space="preserve">Team</t>
  </si>
  <si>
    <t xml:space="preserve">Bye</t>
  </si>
  <si>
    <t xml:space="preserve">ADP</t>
  </si>
  <si>
    <t xml:space="preserve">Notes</t>
  </si>
  <si>
    <t xml:space="preserve">Drafted?</t>
  </si>
  <si>
    <t xml:space="preserve">MINE?</t>
  </si>
  <si>
    <t xml:space="preserve">T1</t>
  </si>
  <si>
    <t xml:space="preserve">Jahmyr Gibbs</t>
  </si>
  <si>
    <t xml:space="preserve">RB</t>
  </si>
  <si>
    <t xml:space="preserve">DET</t>
  </si>
  <si>
    <t xml:space="preserve">1.5</t>
  </si>
  <si>
    <t xml:space="preserve">Bijan Robinson</t>
  </si>
  <si>
    <t xml:space="preserve">ATL</t>
  </si>
  <si>
    <t xml:space="preserve">2.2</t>
  </si>
  <si>
    <t xml:space="preserve">Puka Nacua</t>
  </si>
  <si>
    <t xml:space="preserve">WR</t>
  </si>
  <si>
    <t xml:space="preserve">LAR</t>
  </si>
  <si>
    <t xml:space="preserve">3.0</t>
  </si>
  <si>
    <t xml:space="preserve">Groin — minor, expected Wk1</t>
  </si>
  <si>
    <t xml:space="preserve">Ja'Marr Chase</t>
  </si>
  <si>
    <t xml:space="preserve">CIN</t>
  </si>
  <si>
    <t xml:space="preserve">3.9</t>
  </si>
  <si>
    <t xml:space="preserve">Safest WR1</t>
  </si>
  <si>
    <t xml:space="preserve">Jaxon Smith-Njigba</t>
  </si>
  <si>
    <t xml:space="preserve">SEA</t>
  </si>
  <si>
    <t xml:space="preserve">5.2</t>
  </si>
  <si>
    <t xml:space="preserve">T2</t>
  </si>
  <si>
    <t xml:space="preserve">Jonathan Taylor</t>
  </si>
  <si>
    <t xml:space="preserve">IND</t>
  </si>
  <si>
    <t xml:space="preserve">5.9</t>
  </si>
  <si>
    <t xml:space="preserve">Christian McCaffrey</t>
  </si>
  <si>
    <t xml:space="preserve">SF</t>
  </si>
  <si>
    <t xml:space="preserve">6.6</t>
  </si>
  <si>
    <t xml:space="preserve">Elite when healthy</t>
  </si>
  <si>
    <t xml:space="preserve">Amon-Ra St. Brown</t>
  </si>
  <si>
    <t xml:space="preserve">8.0</t>
  </si>
  <si>
    <t xml:space="preserve">James Cook III</t>
  </si>
  <si>
    <t xml:space="preserve">BUF</t>
  </si>
  <si>
    <t xml:space="preserve">9.3</t>
  </si>
  <si>
    <t xml:space="preserve">Derrick Henry</t>
  </si>
  <si>
    <t xml:space="preserve">BAL</t>
  </si>
  <si>
    <t xml:space="preserve">9.7</t>
  </si>
  <si>
    <t xml:space="preserve">Age, still elite</t>
  </si>
  <si>
    <t xml:space="preserve">De'Von Achane</t>
  </si>
  <si>
    <t xml:space="preserve">MIA</t>
  </si>
  <si>
    <t xml:space="preserve">11.7</t>
  </si>
  <si>
    <t xml:space="preserve">Drake London</t>
  </si>
  <si>
    <t xml:space="preserve">12.0</t>
  </si>
  <si>
    <t xml:space="preserve">CeeDee Lamb</t>
  </si>
  <si>
    <t xml:space="preserve">DAL</t>
  </si>
  <si>
    <t xml:space="preserve">12.5</t>
  </si>
  <si>
    <t xml:space="preserve">T3</t>
  </si>
  <si>
    <t xml:space="preserve">Justin Jefferson</t>
  </si>
  <si>
    <t xml:space="preserve">MIN</t>
  </si>
  <si>
    <t xml:space="preserve">14.4</t>
  </si>
  <si>
    <t xml:space="preserve">Chase Brown</t>
  </si>
  <si>
    <t xml:space="preserve">15.1</t>
  </si>
  <si>
    <t xml:space="preserve">Rashee Rice</t>
  </si>
  <si>
    <t xml:space="preserve">KC</t>
  </si>
  <si>
    <t xml:space="preserve">15.2</t>
  </si>
  <si>
    <t xml:space="preserve">Saquon Barkley</t>
  </si>
  <si>
    <t xml:space="preserve">PHI</t>
  </si>
  <si>
    <t xml:space="preserve">17.6</t>
  </si>
  <si>
    <t xml:space="preserve">Nico Collins</t>
  </si>
  <si>
    <t xml:space="preserve">HOU</t>
  </si>
  <si>
    <t xml:space="preserve">18.4</t>
  </si>
  <si>
    <t xml:space="preserve">Ashton Jeanty</t>
  </si>
  <si>
    <t xml:space="preserve">LV</t>
  </si>
  <si>
    <t xml:space="preserve">18.9</t>
  </si>
  <si>
    <t xml:space="preserve">Ankle — Wk1 uncertain; ADP sliding (~15 to 19)</t>
  </si>
  <si>
    <t xml:space="preserve">George Pickens</t>
  </si>
  <si>
    <t xml:space="preserve">19.9</t>
  </si>
  <si>
    <t xml:space="preserve">A.J. Brown</t>
  </si>
  <si>
    <t xml:space="preserve">NE</t>
  </si>
  <si>
    <t xml:space="preserve">20.0</t>
  </si>
  <si>
    <t xml:space="preserve">New team (NE)</t>
  </si>
  <si>
    <t xml:space="preserve">Kenneth Walker III</t>
  </si>
  <si>
    <t xml:space="preserve">20.5</t>
  </si>
  <si>
    <t xml:space="preserve">Now in KC</t>
  </si>
  <si>
    <t xml:space="preserve">T4</t>
  </si>
  <si>
    <t xml:space="preserve">Chris Olave</t>
  </si>
  <si>
    <t xml:space="preserve">NO</t>
  </si>
  <si>
    <t xml:space="preserve">23.2</t>
  </si>
  <si>
    <t xml:space="preserve">Omarion Hampton</t>
  </si>
  <si>
    <t xml:space="preserve">LAC</t>
  </si>
  <si>
    <t xml:space="preserve">24.0</t>
  </si>
  <si>
    <t xml:space="preserve">Zay Flowers</t>
  </si>
  <si>
    <t xml:space="preserve">25.2</t>
  </si>
  <si>
    <t xml:space="preserve">Josh Jacobs</t>
  </si>
  <si>
    <t xml:space="preserve">GB</t>
  </si>
  <si>
    <t xml:space="preserve">25.4</t>
  </si>
  <si>
    <t xml:space="preserve">Malik Nabers</t>
  </si>
  <si>
    <t xml:space="preserve">NYG</t>
  </si>
  <si>
    <t xml:space="preserve">26.2</t>
  </si>
  <si>
    <t xml:space="preserve">Knee — expected Wk1</t>
  </si>
  <si>
    <t xml:space="preserve">Kyren Williams</t>
  </si>
  <si>
    <t xml:space="preserve">27.4</t>
  </si>
  <si>
    <t xml:space="preserve">Jeremiyah Love</t>
  </si>
  <si>
    <t xml:space="preserve">ARI</t>
  </si>
  <si>
    <t xml:space="preserve">29.0</t>
  </si>
  <si>
    <t xml:space="preserve">Rookie; high-ankle — expected Wk1</t>
  </si>
  <si>
    <t xml:space="preserve">Tetairoa McMillan</t>
  </si>
  <si>
    <t xml:space="preserve">CAR</t>
  </si>
  <si>
    <t xml:space="preserve">30.7</t>
  </si>
  <si>
    <t xml:space="preserve">Garrett Wilson</t>
  </si>
  <si>
    <t xml:space="preserve">NYJ</t>
  </si>
  <si>
    <t xml:space="preserve">31.1</t>
  </si>
  <si>
    <t xml:space="preserve">DeVonta Smith</t>
  </si>
  <si>
    <t xml:space="preserve">31.6</t>
  </si>
  <si>
    <t xml:space="preserve">Value</t>
  </si>
  <si>
    <t xml:space="preserve">T5</t>
  </si>
  <si>
    <t xml:space="preserve">Josh Allen</t>
  </si>
  <si>
    <t xml:space="preserve">QB</t>
  </si>
  <si>
    <t xml:space="preserve">33.0</t>
  </si>
  <si>
    <t xml:space="preserve">QB1 overall — 6-pt pass-TD riser</t>
  </si>
  <si>
    <t xml:space="preserve">Javonte Williams</t>
  </si>
  <si>
    <t xml:space="preserve">33.2</t>
  </si>
  <si>
    <t xml:space="preserve">Now in DAL</t>
  </si>
  <si>
    <t xml:space="preserve">Breece Hall</t>
  </si>
  <si>
    <t xml:space="preserve">33.5</t>
  </si>
  <si>
    <t xml:space="preserve">Groin — expected Wk1; market rising</t>
  </si>
  <si>
    <t xml:space="preserve">Emeka Egbuka</t>
  </si>
  <si>
    <t xml:space="preserve">TB</t>
  </si>
  <si>
    <t xml:space="preserve">33.7</t>
  </si>
  <si>
    <t xml:space="preserve">Toe — monitor (Q)</t>
  </si>
  <si>
    <t xml:space="preserve">Tee Higgins</t>
  </si>
  <si>
    <t xml:space="preserve">35.9</t>
  </si>
  <si>
    <t xml:space="preserve">Travis Etienne Jr.</t>
  </si>
  <si>
    <t xml:space="preserve">37.3</t>
  </si>
  <si>
    <t xml:space="preserve">Now in NO</t>
  </si>
  <si>
    <t xml:space="preserve">Trey McBride</t>
  </si>
  <si>
    <t xml:space="preserve">TE</t>
  </si>
  <si>
    <t xml:space="preserve">37.8</t>
  </si>
  <si>
    <t xml:space="preserve">TE1 — elite</t>
  </si>
  <si>
    <t xml:space="preserve">Davante Adams</t>
  </si>
  <si>
    <t xml:space="preserve">37.9</t>
  </si>
  <si>
    <t xml:space="preserve">Now in LAR</t>
  </si>
  <si>
    <t xml:space="preserve">Cam Skattebo</t>
  </si>
  <si>
    <t xml:space="preserve">38.4</t>
  </si>
  <si>
    <t xml:space="preserve">Risky at cost</t>
  </si>
  <si>
    <t xml:space="preserve">Jameson Williams</t>
  </si>
  <si>
    <t xml:space="preserve">38.7</t>
  </si>
  <si>
    <t xml:space="preserve">Upside</t>
  </si>
  <si>
    <t xml:space="preserve">Ladd McConkey</t>
  </si>
  <si>
    <t xml:space="preserve">41.0</t>
  </si>
  <si>
    <t xml:space="preserve">T6</t>
  </si>
  <si>
    <t xml:space="preserve">D'Andre Swift</t>
  </si>
  <si>
    <t xml:space="preserve">CHI</t>
  </si>
  <si>
    <t xml:space="preserve">43.2</t>
  </si>
  <si>
    <t xml:space="preserve">Brock Bowers</t>
  </si>
  <si>
    <t xml:space="preserve">44.0</t>
  </si>
  <si>
    <t xml:space="preserve">Elite TE — positional edge</t>
  </si>
  <si>
    <t xml:space="preserve">DJ Moore</t>
  </si>
  <si>
    <t xml:space="preserve">44.9</t>
  </si>
  <si>
    <t xml:space="preserve">Now in BUF</t>
  </si>
  <si>
    <t xml:space="preserve">Terry McLaurin</t>
  </si>
  <si>
    <t xml:space="preserve">WAS</t>
  </si>
  <si>
    <t xml:space="preserve">45.1</t>
  </si>
  <si>
    <t xml:space="preserve">Bucky Irving</t>
  </si>
  <si>
    <t xml:space="preserve">47.0</t>
  </si>
  <si>
    <t xml:space="preserve">Jaylen Waddle</t>
  </si>
  <si>
    <t xml:space="preserve">DEN</t>
  </si>
  <si>
    <t xml:space="preserve">47.3</t>
  </si>
  <si>
    <t xml:space="preserve">Now in DEN</t>
  </si>
  <si>
    <t xml:space="preserve">Rome Odunze</t>
  </si>
  <si>
    <t xml:space="preserve">48.9</t>
  </si>
  <si>
    <t xml:space="preserve">Drake Maye</t>
  </si>
  <si>
    <t xml:space="preserve">51.3</t>
  </si>
  <si>
    <t xml:space="preserve">6-pt pass-TD riser</t>
  </si>
  <si>
    <t xml:space="preserve">Quinshon Judkins</t>
  </si>
  <si>
    <t xml:space="preserve">CLE</t>
  </si>
  <si>
    <t xml:space="preserve">51.5</t>
  </si>
  <si>
    <t xml:space="preserve">Bhayshul Tuten</t>
  </si>
  <si>
    <t xml:space="preserve">JAX</t>
  </si>
  <si>
    <t xml:space="preserve">52.5</t>
  </si>
  <si>
    <t xml:space="preserve">Mike Evans</t>
  </si>
  <si>
    <t xml:space="preserve">54.2</t>
  </si>
  <si>
    <t xml:space="preserve">Now in SF</t>
  </si>
  <si>
    <t xml:space="preserve">Lamar Jackson</t>
  </si>
  <si>
    <t xml:space="preserve">55.5</t>
  </si>
  <si>
    <t xml:space="preserve">6-pt pass-TD riser (rush+pass)</t>
  </si>
  <si>
    <t xml:space="preserve">David Montgomery</t>
  </si>
  <si>
    <t xml:space="preserve">Now in HOU</t>
  </si>
  <si>
    <t xml:space="preserve">T7</t>
  </si>
  <si>
    <t xml:space="preserve">Christian Watson</t>
  </si>
  <si>
    <t xml:space="preserve">56.0</t>
  </si>
  <si>
    <t xml:space="preserve">Joe Burrow</t>
  </si>
  <si>
    <t xml:space="preserve">57.5</t>
  </si>
  <si>
    <t xml:space="preserve">Luther Burden III</t>
  </si>
  <si>
    <t xml:space="preserve">57.6</t>
  </si>
  <si>
    <t xml:space="preserve">Groin — expected Wk1; ADP rising</t>
  </si>
  <si>
    <t xml:space="preserve">Courtland Sutton</t>
  </si>
  <si>
    <t xml:space="preserve">59.1</t>
  </si>
  <si>
    <t xml:space="preserve">Ollie Gordon II</t>
  </si>
  <si>
    <t xml:space="preserve">Fell out of top-60 ADP — monitor role</t>
  </si>
  <si>
    <t xml:space="preserve">Alec Pierce</t>
  </si>
  <si>
    <t xml:space="preserve">Ankle/PUP — expected Wk1</t>
  </si>
  <si>
    <t xml:space="preserve">DK Metcalf</t>
  </si>
  <si>
    <t xml:space="preserve">PIT</t>
  </si>
  <si>
    <t xml:space="preserve">Marvin Harrison Jr.</t>
  </si>
  <si>
    <t xml:space="preserve">Bounce-back upside</t>
  </si>
  <si>
    <t xml:space="preserve">Parker Washington</t>
  </si>
  <si>
    <t xml:space="preserve">Brian Thomas Jr.</t>
  </si>
  <si>
    <t xml:space="preserve">Jaylen Warren</t>
  </si>
  <si>
    <t xml:space="preserve">Carnell Tate</t>
  </si>
  <si>
    <t xml:space="preserve">TEN</t>
  </si>
  <si>
    <t xml:space="preserve">Rookie</t>
  </si>
  <si>
    <t xml:space="preserve">Rhamondre Stevenson</t>
  </si>
  <si>
    <t xml:space="preserve">Chris Godwin Jr.</t>
  </si>
  <si>
    <t xml:space="preserve">TreVeyon Henderson</t>
  </si>
  <si>
    <t xml:space="preserve">T8</t>
  </si>
  <si>
    <t xml:space="preserve">Michael Pittman Jr.</t>
  </si>
  <si>
    <t xml:space="preserve">Now in PIT</t>
  </si>
  <si>
    <t xml:space="preserve">Tony Pollard</t>
  </si>
  <si>
    <t xml:space="preserve">Jakobi Meyers</t>
  </si>
  <si>
    <t xml:space="preserve">Now in JAX</t>
  </si>
  <si>
    <t xml:space="preserve">Jordan Addison</t>
  </si>
  <si>
    <t xml:space="preserve">Quentin Johnston</t>
  </si>
  <si>
    <t xml:space="preserve">Jayden Reed</t>
  </si>
  <si>
    <t xml:space="preserve">George Kittle</t>
  </si>
  <si>
    <t xml:space="preserve">Achilles — expected Wk1</t>
  </si>
  <si>
    <t xml:space="preserve">Wan'Dale Robinson</t>
  </si>
  <si>
    <t xml:space="preserve">Now in TEN</t>
  </si>
  <si>
    <t xml:space="preserve">Josh Downs</t>
  </si>
  <si>
    <t xml:space="preserve">Rico Dowdle</t>
  </si>
  <si>
    <t xml:space="preserve">Dak Prescott</t>
  </si>
  <si>
    <t xml:space="preserve">Stefon Diggs</t>
  </si>
  <si>
    <t xml:space="preserve">Now in WAS</t>
  </si>
  <si>
    <t xml:space="preserve">Xavier Worthy</t>
  </si>
  <si>
    <t xml:space="preserve">Deebo Samuel Sr.</t>
  </si>
  <si>
    <t xml:space="preserve">J.K. Dobbins</t>
  </si>
  <si>
    <t xml:space="preserve">Jayden Daniels</t>
  </si>
  <si>
    <t xml:space="preserve">Jadarian Price</t>
  </si>
  <si>
    <t xml:space="preserve">Matthew Stafford</t>
  </si>
  <si>
    <t xml:space="preserve">T9</t>
  </si>
  <si>
    <t xml:space="preserve">Matthew Golden</t>
  </si>
  <si>
    <t xml:space="preserve">Colston Loveland</t>
  </si>
  <si>
    <t xml:space="preserve">Jalen Hurts</t>
  </si>
  <si>
    <t xml:space="preserve">Rushing QB — 6-pt pass-TD riser</t>
  </si>
  <si>
    <t xml:space="preserve">Brock Purdy</t>
  </si>
  <si>
    <t xml:space="preserve">Chuba Hubbard</t>
  </si>
  <si>
    <t xml:space="preserve">Hamstring; committee w/ Brooks</t>
  </si>
  <si>
    <t xml:space="preserve">Khalil Shakir</t>
  </si>
  <si>
    <t xml:space="preserve">Romeo Doubs</t>
  </si>
  <si>
    <t xml:space="preserve">Makai Lemon</t>
  </si>
  <si>
    <t xml:space="preserve">Rookie — upside</t>
  </si>
  <si>
    <t xml:space="preserve">Trevor Lawrence</t>
  </si>
  <si>
    <t xml:space="preserve">Caleb Williams</t>
  </si>
  <si>
    <t xml:space="preserve">Jared Goff</t>
  </si>
  <si>
    <t xml:space="preserve">Tyler Warren</t>
  </si>
  <si>
    <t xml:space="preserve">Groin — expected Wk1</t>
  </si>
  <si>
    <t xml:space="preserve">Patrick Mahomes</t>
  </si>
  <si>
    <t xml:space="preserve">Knee — reduced rush upside</t>
  </si>
  <si>
    <t xml:space="preserve">Jalen Coker</t>
  </si>
  <si>
    <t xml:space="preserve">Rashid Shaheed</t>
  </si>
  <si>
    <t xml:space="preserve">Now in SEA</t>
  </si>
  <si>
    <t xml:space="preserve">Jerry Jeudy</t>
  </si>
  <si>
    <t xml:space="preserve">KC Concepcion</t>
  </si>
  <si>
    <t xml:space="preserve">Harold Fannin Jr.</t>
  </si>
  <si>
    <t xml:space="preserve">Jonathon Brooks</t>
  </si>
  <si>
    <t xml:space="preserve">Committee w/ Hubbard</t>
  </si>
  <si>
    <t xml:space="preserve">T10</t>
  </si>
  <si>
    <t xml:space="preserve">Justin Herbert</t>
  </si>
  <si>
    <t xml:space="preserve">Kyle Pitts Sr.</t>
  </si>
  <si>
    <t xml:space="preserve">Bo Nix</t>
  </si>
  <si>
    <t xml:space="preserve">Jaxson Dart</t>
  </si>
  <si>
    <t xml:space="preserve">Kyle Monangai</t>
  </si>
  <si>
    <t xml:space="preserve">Knee — multi-week (Q)</t>
  </si>
  <si>
    <t xml:space="preserve">Dallas Goedert</t>
  </si>
  <si>
    <t xml:space="preserve">Kenny Gainwell</t>
  </si>
  <si>
    <t xml:space="preserve">Tre Tucker</t>
  </si>
  <si>
    <t xml:space="preserve">RJ Harvey</t>
  </si>
  <si>
    <t xml:space="preserve">Handcuff (Dobbins)</t>
  </si>
  <si>
    <t xml:space="preserve">Seattle D/ST</t>
  </si>
  <si>
    <t xml:space="preserve">DST</t>
  </si>
  <si>
    <t xml:space="preserve">REQUIRED starter — take one in R12</t>
  </si>
  <si>
    <t xml:space="preserve">Denver D/ST</t>
  </si>
  <si>
    <t xml:space="preserve">Houston D/ST</t>
  </si>
  <si>
    <t xml:space="preserve">LIVE DRAFT TRACKER — computes as you mark the Big Board</t>
  </si>
  <si>
    <t xml:space="preserve">During the draft: on the Big Board put x in Drafted? (col I) for EVERY pick made by anyone, and ALSO x in MINE? (col J) for your own picks. 12 rounds, no kicker, DEF required in R12.</t>
  </si>
  <si>
    <t xml:space="preserve">My roster count</t>
  </si>
  <si>
    <t xml:space="preserve">Starters still needed</t>
  </si>
  <si>
    <t xml:space="preserve">(+1 FLEX, +1 DEF in R12 — no kicker)</t>
  </si>
  <si>
    <t xml:space="preserve">Top-tier left (undrafted)</t>
  </si>
  <si>
    <t xml:space="preserve">Next tier left</t>
  </si>
  <si>
    <t xml:space="preserve">My bye weeks:</t>
  </si>
  <si>
    <t xml:space="preserve">Count (3+ same bye = fix it)</t>
  </si>
  <si>
    <t xml:space="preserve">SNAKE PICK CALCULATOR</t>
  </si>
  <si>
    <t xml:space="preserve">Teams:</t>
  </si>
  <si>
    <t xml:space="preserve">Your slot:</t>
  </si>
  <si>
    <t xml:space="preserve">(yellow cells are inputs — picks below recompute if league changes)</t>
  </si>
  <si>
    <t xml:space="preserve">Round</t>
  </si>
  <si>
    <t xml:space="preserve">Overall pick</t>
  </si>
  <si>
    <t xml:space="preserve">RUNNING BACKS</t>
  </si>
  <si>
    <t xml:space="preserve">WIDE RECEIVERS</t>
  </si>
  <si>
    <t xml:space="preserve">QUARTERBACKS</t>
  </si>
  <si>
    <t xml:space="preserve">TIGHT ENDS</t>
  </si>
  <si>
    <t xml:space="preserve">ADP '-' = expert-rank tier (beyond live top-60 ADP)</t>
  </si>
  <si>
    <t xml:space="preserve">Tm</t>
  </si>
  <si>
    <t xml:space="preserve">J. Smith-Njigba</t>
  </si>
  <si>
    <t xml:space="preserve">-</t>
  </si>
  <si>
    <t xml:space="preserve">C. McCaffrey</t>
  </si>
  <si>
    <t xml:space="preserve">6-PT PASS TDs: draft QBs ~1 round earlier than ADP. Elite dual-threats (Allen, Jackson, Daniels, Hurts) gain the most; the streaming baseline rises too, so don't reach into rounds 1-3.</t>
  </si>
  <si>
    <t xml:space="preserve">R. Stevenson</t>
  </si>
  <si>
    <t xml:space="preserve">M. Pittman Jr.</t>
  </si>
  <si>
    <t xml:space="preserve">SLEEPERS • VALUES • FADES • INJURY WATCH</t>
  </si>
  <si>
    <t xml:space="preserve">VALUES (talent &gt; draft cost — target these)</t>
  </si>
  <si>
    <t xml:space="preserve">DeVonta Smith (WR, PHI)</t>
  </si>
  <si>
    <t xml:space="preserve">Locked-in WR2 going as a WR3.</t>
  </si>
  <si>
    <t xml:space="preserve">Breece Hall (RB, NYJ)</t>
  </si>
  <si>
    <t xml:space="preserve">Groin now, but RB1 talent at an RB2 price — buy the dip if healthy.</t>
  </si>
  <si>
    <t xml:space="preserve">Jameson Williams (WR, DET)</t>
  </si>
  <si>
    <t xml:space="preserve">Big-play ceiling in a loaded offense.</t>
  </si>
  <si>
    <t xml:space="preserve">TreVeyon Henderson (RB, NE)</t>
  </si>
  <si>
    <t xml:space="preserve">Explosive; can seize the NE backfield.</t>
  </si>
  <si>
    <t xml:space="preserve">Jalen Hurts / Jayden Daniels (QB)</t>
  </si>
  <si>
    <t xml:space="preserve">Rushing floors that outscore QBs taken 3 rounds earlier.</t>
  </si>
  <si>
    <t xml:space="preserve">Marvin Harrison Jr. (WR, ARI)</t>
  </si>
  <si>
    <t xml:space="preserve">Year-3 bounce-back at a discount.</t>
  </si>
  <si>
    <t xml:space="preserve">SLEEPERS (late-round upside swings)</t>
  </si>
  <si>
    <t xml:space="preserve">Makai Lemon (WR, PHI)</t>
  </si>
  <si>
    <t xml:space="preserve">Rookie with real target path.</t>
  </si>
  <si>
    <t xml:space="preserve">Carnell Tate (WR, TEN)</t>
  </si>
  <si>
    <t xml:space="preserve">Rookie; volume if he wins the role.</t>
  </si>
  <si>
    <t xml:space="preserve">Matthew Golden (WR, GB)</t>
  </si>
  <si>
    <t xml:space="preserve">Ascending role in GB.</t>
  </si>
  <si>
    <t xml:space="preserve">Jaylen Warren (RB, PIT)</t>
  </si>
  <si>
    <t xml:space="preserve">Standalone value + league-winner if Harris-type role opens.</t>
  </si>
  <si>
    <t xml:space="preserve">Jalen Coker (WR, CAR)</t>
  </si>
  <si>
    <t xml:space="preserve">Cheap target share.</t>
  </si>
  <si>
    <t xml:space="preserve">Jaxson Dart (QB, NYG)</t>
  </si>
  <si>
    <t xml:space="preserve">Late-round rushing-QB lottery ticket.</t>
  </si>
  <si>
    <t xml:space="preserve">INJURY WATCH (draftable — confirm status draft day)</t>
  </si>
  <si>
    <t xml:space="preserve">Ashton Jeanty (RB, LV)</t>
  </si>
  <si>
    <t xml:space="preserve">Ankle — Wk1 uncertain; ADP slid ~15 to 19. Real discount if it drops him to your R2 turn.</t>
  </si>
  <si>
    <t xml:space="preserve">Puka Nacua (WR, LAR)</t>
  </si>
  <si>
    <t xml:space="preserve">Groin — expected Week 1.</t>
  </si>
  <si>
    <t xml:space="preserve">Malik Nabers (WR, NYG)</t>
  </si>
  <si>
    <t xml:space="preserve">Knee — expected Week 1.</t>
  </si>
  <si>
    <t xml:space="preserve">Groin, out 2-3 weeks — expected Week 1.</t>
  </si>
  <si>
    <t xml:space="preserve">Emeka Egbuka (WR, TB)</t>
  </si>
  <si>
    <t xml:space="preserve">Toe — day-to-day, monitor.</t>
  </si>
  <si>
    <t xml:space="preserve">Jeremiyah Love (RB, ARI)</t>
  </si>
  <si>
    <t xml:space="preserve">High-ankle sprain — expected Week 1.</t>
  </si>
  <si>
    <t xml:space="preserve">George Kittle (TE, SF)</t>
  </si>
  <si>
    <t xml:space="preserve">Achilles — activated off PUP, expected Week 1.</t>
  </si>
  <si>
    <t xml:space="preserve">Patrick Mahomes (QB, KC)</t>
  </si>
  <si>
    <t xml:space="preserve">Knee — playing, but rushing upside may dip.</t>
  </si>
  <si>
    <t xml:space="preserve">FADES / AVOID (hurt too much or priced too high)</t>
  </si>
  <si>
    <t xml:space="preserve">Ricky Pearsall (WR, SF)</t>
  </si>
  <si>
    <t xml:space="preserve">OUT for 2026 (PCL surgery). Do not draft.</t>
  </si>
  <si>
    <t xml:space="preserve">Jayden Higgins (WR, HOU)</t>
  </si>
  <si>
    <t xml:space="preserve">OUT for 2026 (ACL). Do not draft.</t>
  </si>
  <si>
    <t xml:space="preserve">Jordyn Tyson (WR, NO)</t>
  </si>
  <si>
    <t xml:space="preserve">Hamstring — ~2 months / likely IR. Stash only, don't reach.</t>
  </si>
  <si>
    <t xml:space="preserve">Kyle Monangai (RB, CHI)</t>
  </si>
  <si>
    <t xml:space="preserve">Knee — multi-week; falling value.</t>
  </si>
  <si>
    <t xml:space="preserve">Cam Skattebo (RB, NYG)</t>
  </si>
  <si>
    <t xml:space="preserve">Flagged as one of the riskiest top-50 picks.</t>
  </si>
  <si>
    <t xml:space="preserve">HANDCUFFS (grab late to protect your studs)</t>
  </si>
  <si>
    <t xml:space="preserve">RJ Harvey (DEN)</t>
  </si>
  <si>
    <t xml:space="preserve">Behind J.K. Dobbins.</t>
  </si>
  <si>
    <t xml:space="preserve">Jonathon Brooks (CAR)</t>
  </si>
  <si>
    <t xml:space="preserve">Committee with Chuba Hubbard.</t>
  </si>
  <si>
    <t xml:space="preserve">Rico Dowdle (PIT)</t>
  </si>
  <si>
    <t xml:space="preserve">Behind Jaylen Warren.</t>
  </si>
  <si>
    <t xml:space="preserve">Kenny Gainwell (TB)</t>
  </si>
  <si>
    <t xml:space="preserve">Behind Bucky Irving.</t>
  </si>
  <si>
    <t xml:space="preserve">Rhamondre Stevenson / T. Henderson (NE)</t>
  </si>
  <si>
    <t xml:space="preserve">Whichever you don't roster.</t>
  </si>
  <si>
    <t xml:space="preserve">FAAB — $100 SEASON FREE-AGENT BUDGET (in-season waiver bidding)</t>
  </si>
  <si>
    <t xml:space="preserve">This is your in-season pot for bidding on free agents — separate from the draft. How to make it last:</t>
  </si>
  <si>
    <t xml:space="preserve">Save it for RBs</t>
  </si>
  <si>
    <t xml:space="preserve">Most FAAB league-winners are backup RBs who fall into a starting job (injury or benching). Spend your biggest bids there, not on WRs.</t>
  </si>
  <si>
    <t xml:space="preserve">Be aggressive early (Wks 1-4)</t>
  </si>
  <si>
    <t xml:space="preserve">This is when breakout RB/WRs first surface and roles shift. Pounce on real opportunity — but don't empty the tank.</t>
  </si>
  <si>
    <t xml:space="preserve">Cap any single bid</t>
  </si>
  <si>
    <t xml:space="preserve">Rarely go over ~$30-40 on one player unless it's a clear league-winner (a true every-down bell-cow RB).</t>
  </si>
  <si>
    <t xml:space="preserve">Keep dry powder</t>
  </si>
  <si>
    <t xml:space="preserve">Hold ~$25-30 into the fantasy playoff push (Wks 12-14) for an injury replacement or a great matchup streamer.</t>
  </si>
  <si>
    <t xml:space="preserve">Win ties with odd bids</t>
  </si>
  <si>
    <t xml:space="preserve">Bid $17 or $23, never round numbers — you edge out everyone parked on $15 / $20.</t>
  </si>
  <si>
    <t xml:space="preserve">Stream defenses cheap</t>
  </si>
  <si>
    <t xml:space="preserve">No kicker in this league. Defenses and one-week fill-ins are $0-2 bids — stream the matchup, never pay up.</t>
  </si>
  <si>
    <t xml:space="preserve">Don't panic Week 1</t>
  </si>
  <si>
    <t xml:space="preserve">Let roles settle a week or two before spending on preseason hype or one big game.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</si>
</sst>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9"/>
      <color rgb="FFB45309"/>
      <name val="Arial"/>
      <family val="0"/>
      <charset val="1"/>
    </font>
    <font>
      <b val="true"/>
      <sz val="9"/>
      <color rgb="FF33333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137333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777777"/>
      <name val="Arial"/>
      <family val="0"/>
      <charset val="1"/>
    </font>
    <font>
      <b val="true"/>
      <sz val="10"/>
      <color rgb="FF1155CC"/>
      <name val="Arial"/>
      <family val="0"/>
      <charset val="1"/>
    </font>
    <font>
      <sz val="9"/>
      <color rgb="FFB45309"/>
      <name val="Arial"/>
      <family val="0"/>
      <charset val="1"/>
    </font>
    <font>
      <b val="true"/>
      <sz val="10"/>
      <color rgb="FFB45F06"/>
      <name val="Arial"/>
      <family val="0"/>
      <charset val="1"/>
    </font>
    <font>
      <b val="true"/>
      <sz val="10"/>
      <color rgb="FF6A329F"/>
      <name val="Arial"/>
      <family val="0"/>
      <charset val="1"/>
    </font>
    <font>
      <b val="true"/>
      <sz val="10"/>
      <color rgb="FF666666"/>
      <name val="Arial"/>
      <family val="0"/>
      <charset val="1"/>
    </font>
    <font>
      <b val="true"/>
      <sz val="15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777777"/>
      <name val="Arial"/>
      <family val="0"/>
      <charset val="1"/>
    </font>
    <font>
      <i val="true"/>
      <sz val="8"/>
      <color rgb="FF777777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00000"/>
      <name val="Arial"/>
      <family val="0"/>
      <charset val="1"/>
    </font>
    <font>
      <i val="true"/>
      <sz val="9"/>
      <color rgb="FFB45F06"/>
      <name val="Arial"/>
      <family val="0"/>
      <charset val="1"/>
    </font>
    <font>
      <b val="true"/>
      <sz val="14"/>
      <color rgb="FF1F3864"/>
      <name val="Arial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FFF2CC"/>
        <bgColor rgb="FFFBEFEF"/>
      </patternFill>
    </fill>
    <fill>
      <patternFill patternType="solid">
        <fgColor rgb="FF1F3864"/>
        <bgColor rgb="FF333333"/>
      </patternFill>
    </fill>
    <fill>
      <patternFill patternType="solid">
        <fgColor rgb="FFEAF3EA"/>
        <bgColor rgb="FFE8E8E8"/>
      </patternFill>
    </fill>
    <fill>
      <patternFill patternType="solid">
        <fgColor rgb="FFCC0000"/>
        <bgColor rgb="FF800000"/>
      </patternFill>
    </fill>
    <fill>
      <patternFill patternType="solid">
        <fgColor rgb="FFFBEFEF"/>
        <bgColor rgb="FFEAF3EA"/>
      </patternFill>
    </fill>
    <fill>
      <patternFill patternType="solid">
        <fgColor rgb="FFFFD966"/>
        <bgColor rgb="FFF6B26B"/>
      </patternFill>
    </fill>
    <fill>
      <patternFill patternType="solid">
        <fgColor rgb="FFA9D08E"/>
        <bgColor rgb="FFA2C4C9"/>
      </patternFill>
    </fill>
    <fill>
      <patternFill patternType="solid">
        <fgColor rgb="FF9DC3E6"/>
        <bgColor rgb="FFA2C4C9"/>
      </patternFill>
    </fill>
    <fill>
      <patternFill patternType="solid">
        <fgColor rgb="FFB4A7D6"/>
        <bgColor rgb="FFD5A6BD"/>
      </patternFill>
    </fill>
    <fill>
      <patternFill patternType="solid">
        <fgColor rgb="FFF4B183"/>
        <bgColor rgb="FFF6B26B"/>
      </patternFill>
    </fill>
    <fill>
      <patternFill patternType="solid">
        <fgColor rgb="FFC9DAF8"/>
        <bgColor rgb="FFD9D9D9"/>
      </patternFill>
    </fill>
    <fill>
      <patternFill patternType="solid">
        <fgColor rgb="FFD5A6BD"/>
        <bgColor rgb="FFB4A7D6"/>
      </patternFill>
    </fill>
    <fill>
      <patternFill patternType="solid">
        <fgColor rgb="FFA2C4C9"/>
        <bgColor rgb="FF9DC3E6"/>
      </patternFill>
    </fill>
    <fill>
      <patternFill patternType="solid">
        <fgColor rgb="FFF6B26B"/>
        <bgColor rgb="FFF4B183"/>
      </patternFill>
    </fill>
    <fill>
      <patternFill patternType="solid">
        <fgColor rgb="FFD9D9D9"/>
        <bgColor rgb="FFD0D0D0"/>
      </patternFill>
    </fill>
    <fill>
      <patternFill patternType="solid">
        <fgColor rgb="FF595959"/>
        <bgColor rgb="FF555555"/>
      </patternFill>
    </fill>
    <fill>
      <patternFill patternType="solid">
        <fgColor rgb="FF137333"/>
        <bgColor rgb="FF008080"/>
      </patternFill>
    </fill>
    <fill>
      <patternFill patternType="solid">
        <fgColor rgb="FF1155CC"/>
        <bgColor rgb="FF3366FF"/>
      </patternFill>
    </fill>
    <fill>
      <patternFill patternType="solid">
        <fgColor rgb="FFB45F06"/>
        <bgColor rgb="FFB45309"/>
      </patternFill>
    </fill>
    <fill>
      <patternFill patternType="solid">
        <fgColor rgb="FF6A329F"/>
        <bgColor rgb="FF993366"/>
      </patternFill>
    </fill>
    <fill>
      <patternFill patternType="solid">
        <fgColor rgb="FF666666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2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2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1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1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2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2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000000"/>
        <sz val="10"/>
      </font>
      <fill>
        <patternFill>
          <bgColor rgb="FFD9EAD3"/>
        </patternFill>
      </fill>
    </dxf>
    <dxf>
      <font>
        <name val="Arial"/>
        <charset val="1"/>
        <family val="0"/>
        <i val="1"/>
        <color rgb="FF999999"/>
        <sz val="10"/>
      </font>
      <fill>
        <patternFill>
          <bgColor rgb="FFE8E8E8"/>
        </patternFill>
      </fill>
    </dxf>
    <dxf>
      <font>
        <name val="Arial"/>
        <charset val="1"/>
        <family val="0"/>
        <b val="1"/>
        <color rgb="FFCC0000"/>
        <sz val="10"/>
      </font>
      <fill>
        <patternFill>
          <bgColor rgb="FFF4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D9D9D9"/>
      <rgbColor rgb="FFFF00FF"/>
      <rgbColor rgb="FF00FFFF"/>
      <rgbColor rgb="FF800000"/>
      <rgbColor rgb="FF137333"/>
      <rgbColor rgb="FF000080"/>
      <rgbColor rgb="FFB45F06"/>
      <rgbColor rgb="FF800080"/>
      <rgbColor rgb="FF008080"/>
      <rgbColor rgb="FFD0D0D0"/>
      <rgbColor rgb="FF777777"/>
      <rgbColor rgb="FFA2C4C9"/>
      <rgbColor rgb="FF595959"/>
      <rgbColor rgb="FFFFF2CC"/>
      <rgbColor rgb="FFEAF3EA"/>
      <rgbColor rgb="FF660066"/>
      <rgbColor rgb="FFF4B183"/>
      <rgbColor rgb="FF1155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9EAD3"/>
      <rgbColor rgb="FFFBEFEF"/>
      <rgbColor rgb="FF9DC3E6"/>
      <rgbColor rgb="FFD5A6BD"/>
      <rgbColor rgb="FFB4A7D6"/>
      <rgbColor rgb="FFF4CCCC"/>
      <rgbColor rgb="FF3366FF"/>
      <rgbColor rgb="FF33CCCC"/>
      <rgbColor rgb="FFA9D08E"/>
      <rgbColor rgb="FFFFD966"/>
      <rgbColor rgb="FFF6B26B"/>
      <rgbColor rgb="FFFF6600"/>
      <rgbColor rgb="FF666666"/>
      <rgbColor rgb="FF999999"/>
      <rgbColor rgb="FF1F3864"/>
      <rgbColor rgb="FF339966"/>
      <rgbColor rgb="FF003300"/>
      <rgbColor rgb="FF555555"/>
      <rgbColor rgb="FFB45309"/>
      <rgbColor rgb="FF993366"/>
      <rgbColor rgb="FF6A329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40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55.5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27.75" hidden="false" customHeight="true" outlineLevel="0" collapsed="false">
      <c r="A3" s="3" t="s">
        <v>2</v>
      </c>
      <c r="B3" s="3"/>
      <c r="C3" s="3"/>
      <c r="D3" s="3"/>
      <c r="E3" s="3"/>
      <c r="F3" s="3"/>
    </row>
    <row r="5" customFormat="false" ht="26.8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customFormat="false" ht="39.75" hidden="false" customHeight="true" outlineLevel="0" collapsed="false">
      <c r="A6" s="5" t="s">
        <v>9</v>
      </c>
      <c r="B6" s="6" t="s">
        <v>10</v>
      </c>
      <c r="C6" s="7" t="s">
        <v>11</v>
      </c>
      <c r="D6" s="8" t="s">
        <v>12</v>
      </c>
      <c r="E6" s="9" t="s">
        <v>13</v>
      </c>
      <c r="F6" s="9" t="s">
        <v>14</v>
      </c>
    </row>
    <row r="7" customFormat="false" ht="39.75" hidden="false" customHeight="true" outlineLevel="0" collapsed="false">
      <c r="A7" s="5" t="s">
        <v>15</v>
      </c>
      <c r="B7" s="6" t="s">
        <v>16</v>
      </c>
      <c r="C7" s="7" t="s">
        <v>17</v>
      </c>
      <c r="D7" s="8" t="s">
        <v>18</v>
      </c>
      <c r="E7" s="9" t="s">
        <v>19</v>
      </c>
      <c r="F7" s="9" t="s">
        <v>20</v>
      </c>
    </row>
    <row r="8" customFormat="false" ht="39.75" hidden="false" customHeight="true" outlineLevel="0" collapsed="false">
      <c r="A8" s="5" t="s">
        <v>10</v>
      </c>
      <c r="B8" s="6" t="s">
        <v>21</v>
      </c>
      <c r="C8" s="7" t="s">
        <v>22</v>
      </c>
      <c r="D8" s="8" t="s">
        <v>23</v>
      </c>
      <c r="E8" s="9" t="s">
        <v>24</v>
      </c>
      <c r="F8" s="9" t="s">
        <v>25</v>
      </c>
    </row>
    <row r="9" customFormat="false" ht="39.75" hidden="false" customHeight="true" outlineLevel="0" collapsed="false">
      <c r="A9" s="5" t="s">
        <v>26</v>
      </c>
      <c r="B9" s="6" t="s">
        <v>27</v>
      </c>
      <c r="C9" s="7" t="s">
        <v>28</v>
      </c>
      <c r="D9" s="8" t="s">
        <v>29</v>
      </c>
      <c r="E9" s="9" t="s">
        <v>30</v>
      </c>
      <c r="F9" s="9" t="s">
        <v>31</v>
      </c>
    </row>
    <row r="10" customFormat="false" ht="39.75" hidden="false" customHeight="true" outlineLevel="0" collapsed="false">
      <c r="A10" s="5" t="s">
        <v>32</v>
      </c>
      <c r="B10" s="6" t="s">
        <v>33</v>
      </c>
      <c r="C10" s="7" t="s">
        <v>34</v>
      </c>
      <c r="D10" s="8" t="s">
        <v>35</v>
      </c>
      <c r="E10" s="9" t="s">
        <v>36</v>
      </c>
      <c r="F10" s="9" t="s">
        <v>37</v>
      </c>
    </row>
    <row r="11" customFormat="false" ht="39.75" hidden="false" customHeight="true" outlineLevel="0" collapsed="false">
      <c r="A11" s="5" t="s">
        <v>38</v>
      </c>
      <c r="B11" s="6" t="s">
        <v>39</v>
      </c>
      <c r="C11" s="7" t="s">
        <v>40</v>
      </c>
      <c r="D11" s="8" t="s">
        <v>41</v>
      </c>
      <c r="E11" s="9" t="s">
        <v>42</v>
      </c>
      <c r="F11" s="9" t="s">
        <v>43</v>
      </c>
    </row>
    <row r="12" customFormat="false" ht="39.75" hidden="false" customHeight="true" outlineLevel="0" collapsed="false">
      <c r="A12" s="5" t="s">
        <v>44</v>
      </c>
      <c r="B12" s="6" t="s">
        <v>45</v>
      </c>
      <c r="C12" s="7" t="s">
        <v>46</v>
      </c>
      <c r="D12" s="8" t="s">
        <v>47</v>
      </c>
      <c r="E12" s="9" t="s">
        <v>48</v>
      </c>
      <c r="F12" s="9" t="s">
        <v>49</v>
      </c>
    </row>
    <row r="13" customFormat="false" ht="39.75" hidden="false" customHeight="true" outlineLevel="0" collapsed="false">
      <c r="A13" s="5" t="s">
        <v>50</v>
      </c>
      <c r="B13" s="6" t="s">
        <v>51</v>
      </c>
      <c r="C13" s="7" t="s">
        <v>52</v>
      </c>
      <c r="D13" s="8" t="s">
        <v>53</v>
      </c>
      <c r="E13" s="9" t="s">
        <v>54</v>
      </c>
      <c r="F13" s="9" t="s">
        <v>55</v>
      </c>
    </row>
    <row r="14" customFormat="false" ht="39.75" hidden="false" customHeight="true" outlineLevel="0" collapsed="false">
      <c r="A14" s="5" t="s">
        <v>56</v>
      </c>
      <c r="B14" s="6" t="s">
        <v>57</v>
      </c>
      <c r="C14" s="7" t="s">
        <v>58</v>
      </c>
      <c r="D14" s="8" t="s">
        <v>59</v>
      </c>
      <c r="E14" s="9" t="s">
        <v>60</v>
      </c>
      <c r="F14" s="9" t="s">
        <v>61</v>
      </c>
    </row>
    <row r="15" customFormat="false" ht="39.75" hidden="false" customHeight="true" outlineLevel="0" collapsed="false">
      <c r="A15" s="5" t="s">
        <v>62</v>
      </c>
      <c r="B15" s="6" t="s">
        <v>63</v>
      </c>
      <c r="C15" s="7" t="s">
        <v>64</v>
      </c>
      <c r="D15" s="8" t="s">
        <v>65</v>
      </c>
      <c r="E15" s="9" t="s">
        <v>66</v>
      </c>
      <c r="F15" s="9" t="s">
        <v>67</v>
      </c>
    </row>
    <row r="16" customFormat="false" ht="39.75" hidden="false" customHeight="true" outlineLevel="0" collapsed="false">
      <c r="A16" s="5" t="s">
        <v>68</v>
      </c>
      <c r="B16" s="6" t="s">
        <v>69</v>
      </c>
      <c r="C16" s="7" t="s">
        <v>70</v>
      </c>
      <c r="D16" s="8" t="s">
        <v>71</v>
      </c>
      <c r="E16" s="9" t="s">
        <v>72</v>
      </c>
      <c r="F16" s="9" t="s">
        <v>73</v>
      </c>
    </row>
    <row r="17" customFormat="false" ht="39.75" hidden="false" customHeight="true" outlineLevel="0" collapsed="false">
      <c r="A17" s="5" t="s">
        <v>74</v>
      </c>
      <c r="B17" s="6" t="s">
        <v>75</v>
      </c>
      <c r="C17" s="7" t="s">
        <v>76</v>
      </c>
      <c r="D17" s="8" t="s">
        <v>77</v>
      </c>
      <c r="E17" s="9" t="s">
        <v>78</v>
      </c>
      <c r="F17" s="9" t="s">
        <v>79</v>
      </c>
    </row>
    <row r="19" customFormat="false" ht="15" hidden="false" customHeight="true" outlineLevel="0" collapsed="false">
      <c r="A19" s="10" t="s">
        <v>80</v>
      </c>
      <c r="B19" s="10"/>
      <c r="C19" s="10"/>
      <c r="D19" s="10"/>
      <c r="E19" s="10"/>
      <c r="F19" s="10"/>
    </row>
    <row r="20" customFormat="false" ht="25.5" hidden="false" customHeight="true" outlineLevel="0" collapsed="false">
      <c r="A20" s="11" t="s">
        <v>81</v>
      </c>
      <c r="B20" s="11"/>
      <c r="C20" s="11"/>
      <c r="D20" s="11"/>
      <c r="E20" s="11"/>
      <c r="F20" s="11"/>
    </row>
    <row r="21" customFormat="false" ht="25.5" hidden="false" customHeight="true" outlineLevel="0" collapsed="false">
      <c r="A21" s="11" t="s">
        <v>82</v>
      </c>
      <c r="B21" s="11"/>
      <c r="C21" s="11"/>
      <c r="D21" s="11"/>
      <c r="E21" s="11"/>
      <c r="F21" s="11"/>
    </row>
    <row r="22" customFormat="false" ht="25.5" hidden="false" customHeight="true" outlineLevel="0" collapsed="false">
      <c r="A22" s="11" t="s">
        <v>83</v>
      </c>
      <c r="B22" s="11"/>
      <c r="C22" s="11"/>
      <c r="D22" s="11"/>
      <c r="E22" s="11"/>
      <c r="F22" s="11"/>
    </row>
    <row r="23" customFormat="false" ht="25.5" hidden="false" customHeight="true" outlineLevel="0" collapsed="false">
      <c r="A23" s="11" t="s">
        <v>84</v>
      </c>
      <c r="B23" s="11"/>
      <c r="C23" s="11"/>
      <c r="D23" s="11"/>
      <c r="E23" s="11"/>
      <c r="F23" s="11"/>
    </row>
    <row r="24" customFormat="false" ht="25.5" hidden="false" customHeight="true" outlineLevel="0" collapsed="false">
      <c r="A24" s="11" t="s">
        <v>85</v>
      </c>
      <c r="B24" s="11"/>
      <c r="C24" s="11"/>
      <c r="D24" s="11"/>
      <c r="E24" s="11"/>
      <c r="F24" s="11"/>
    </row>
  </sheetData>
  <mergeCells count="9">
    <mergeCell ref="A1:F1"/>
    <mergeCell ref="A2:F2"/>
    <mergeCell ref="A3:F3"/>
    <mergeCell ref="A19:F19"/>
    <mergeCell ref="A20:F20"/>
    <mergeCell ref="A21:F21"/>
    <mergeCell ref="A22:F22"/>
    <mergeCell ref="A23:F23"/>
    <mergeCell ref="A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55CC"/>
    <pageSetUpPr fitToPage="false"/>
  </sheetPr>
  <dimension ref="A1:J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24"/>
    <col collapsed="false" customWidth="true" hidden="false" outlineLevel="0" max="4" min="4" style="0" width="6"/>
    <col collapsed="false" customWidth="true" hidden="false" outlineLevel="0" max="5" min="5" style="0" width="7"/>
    <col collapsed="false" customWidth="true" hidden="false" outlineLevel="0" max="6" min="6" style="0" width="6"/>
    <col collapsed="false" customWidth="true" hidden="false" outlineLevel="0" max="7" min="7" style="0" width="8"/>
    <col collapsed="false" customWidth="true" hidden="false" outlineLevel="0" max="8" min="8" style="0" width="34"/>
    <col collapsed="false" customWidth="true" hidden="false" outlineLevel="0" max="9" min="9" style="0" width="9"/>
    <col collapsed="false" customWidth="true" hidden="false" outlineLevel="0" max="10" min="10" style="0" width="8"/>
  </cols>
  <sheetData>
    <row r="1" customFormat="false" ht="19.7" hidden="false" customHeight="false" outlineLevel="0" collapsed="false">
      <c r="A1" s="1" t="s">
        <v>86</v>
      </c>
      <c r="B1" s="1"/>
      <c r="C1" s="1"/>
      <c r="D1" s="1"/>
      <c r="E1" s="1"/>
      <c r="F1" s="1"/>
      <c r="G1" s="1"/>
      <c r="H1" s="1"/>
      <c r="I1" s="1"/>
    </row>
    <row r="2" customFormat="false" ht="30" hidden="false" customHeight="true" outlineLevel="0" collapsed="false">
      <c r="A2" s="12" t="s">
        <v>87</v>
      </c>
      <c r="B2" s="12"/>
      <c r="C2" s="12"/>
      <c r="D2" s="12"/>
      <c r="E2" s="12"/>
      <c r="F2" s="12"/>
      <c r="G2" s="12"/>
      <c r="H2" s="12"/>
      <c r="I2" s="12"/>
    </row>
    <row r="4" customFormat="false" ht="26.85" hidden="false" customHeight="false" outlineLevel="0" collapsed="false">
      <c r="A4" s="4" t="s">
        <v>88</v>
      </c>
      <c r="B4" s="4" t="s">
        <v>89</v>
      </c>
      <c r="C4" s="4" t="s">
        <v>90</v>
      </c>
      <c r="D4" s="4" t="s">
        <v>91</v>
      </c>
      <c r="E4" s="4" t="s">
        <v>92</v>
      </c>
      <c r="F4" s="4" t="s">
        <v>93</v>
      </c>
      <c r="G4" s="4" t="s">
        <v>94</v>
      </c>
      <c r="H4" s="4" t="s">
        <v>95</v>
      </c>
      <c r="I4" s="4" t="s">
        <v>96</v>
      </c>
      <c r="J4" s="4" t="s">
        <v>97</v>
      </c>
    </row>
    <row r="5" customFormat="false" ht="15" hidden="false" customHeight="false" outlineLevel="0" collapsed="false">
      <c r="A5" s="13" t="n">
        <v>1</v>
      </c>
      <c r="B5" s="14" t="s">
        <v>98</v>
      </c>
      <c r="C5" s="15" t="s">
        <v>99</v>
      </c>
      <c r="D5" s="16" t="s">
        <v>100</v>
      </c>
      <c r="E5" s="17" t="s">
        <v>101</v>
      </c>
      <c r="F5" s="18" t="n">
        <v>6</v>
      </c>
      <c r="G5" s="17" t="s">
        <v>102</v>
      </c>
      <c r="H5" s="9"/>
      <c r="I5" s="19"/>
      <c r="J5" s="19"/>
    </row>
    <row r="6" customFormat="false" ht="15" hidden="false" customHeight="false" outlineLevel="0" collapsed="false">
      <c r="A6" s="13" t="n">
        <v>2</v>
      </c>
      <c r="B6" s="14" t="s">
        <v>98</v>
      </c>
      <c r="C6" s="15" t="s">
        <v>103</v>
      </c>
      <c r="D6" s="16" t="s">
        <v>100</v>
      </c>
      <c r="E6" s="17" t="s">
        <v>104</v>
      </c>
      <c r="F6" s="18" t="n">
        <v>11</v>
      </c>
      <c r="G6" s="17" t="s">
        <v>105</v>
      </c>
      <c r="H6" s="9"/>
      <c r="I6" s="19"/>
      <c r="J6" s="19"/>
    </row>
    <row r="7" customFormat="false" ht="15" hidden="false" customHeight="false" outlineLevel="0" collapsed="false">
      <c r="A7" s="13" t="n">
        <v>3</v>
      </c>
      <c r="B7" s="14" t="s">
        <v>98</v>
      </c>
      <c r="C7" s="15" t="s">
        <v>106</v>
      </c>
      <c r="D7" s="20" t="s">
        <v>107</v>
      </c>
      <c r="E7" s="17" t="s">
        <v>108</v>
      </c>
      <c r="F7" s="18" t="n">
        <v>11</v>
      </c>
      <c r="G7" s="17" t="s">
        <v>109</v>
      </c>
      <c r="H7" s="21" t="s">
        <v>110</v>
      </c>
      <c r="I7" s="19"/>
      <c r="J7" s="19"/>
    </row>
    <row r="8" customFormat="false" ht="15" hidden="false" customHeight="false" outlineLevel="0" collapsed="false">
      <c r="A8" s="13" t="n">
        <v>4</v>
      </c>
      <c r="B8" s="14" t="s">
        <v>98</v>
      </c>
      <c r="C8" s="15" t="s">
        <v>111</v>
      </c>
      <c r="D8" s="20" t="s">
        <v>107</v>
      </c>
      <c r="E8" s="17" t="s">
        <v>112</v>
      </c>
      <c r="F8" s="18" t="n">
        <v>6</v>
      </c>
      <c r="G8" s="17" t="s">
        <v>113</v>
      </c>
      <c r="H8" s="21" t="s">
        <v>114</v>
      </c>
      <c r="I8" s="19"/>
      <c r="J8" s="19"/>
    </row>
    <row r="9" customFormat="false" ht="15" hidden="false" customHeight="false" outlineLevel="0" collapsed="false">
      <c r="A9" s="13" t="n">
        <v>5</v>
      </c>
      <c r="B9" s="14" t="s">
        <v>98</v>
      </c>
      <c r="C9" s="15" t="s">
        <v>115</v>
      </c>
      <c r="D9" s="20" t="s">
        <v>107</v>
      </c>
      <c r="E9" s="17" t="s">
        <v>116</v>
      </c>
      <c r="F9" s="18" t="n">
        <v>11</v>
      </c>
      <c r="G9" s="17" t="s">
        <v>117</v>
      </c>
      <c r="H9" s="9"/>
      <c r="I9" s="19"/>
      <c r="J9" s="19"/>
    </row>
    <row r="10" customFormat="false" ht="15" hidden="false" customHeight="false" outlineLevel="0" collapsed="false">
      <c r="A10" s="13" t="n">
        <v>6</v>
      </c>
      <c r="B10" s="22" t="s">
        <v>118</v>
      </c>
      <c r="C10" s="15" t="s">
        <v>119</v>
      </c>
      <c r="D10" s="16" t="s">
        <v>100</v>
      </c>
      <c r="E10" s="17" t="s">
        <v>120</v>
      </c>
      <c r="F10" s="18" t="n">
        <v>13</v>
      </c>
      <c r="G10" s="17" t="s">
        <v>121</v>
      </c>
      <c r="H10" s="9"/>
      <c r="I10" s="19"/>
      <c r="J10" s="19"/>
    </row>
    <row r="11" customFormat="false" ht="15" hidden="false" customHeight="false" outlineLevel="0" collapsed="false">
      <c r="A11" s="13" t="n">
        <v>7</v>
      </c>
      <c r="B11" s="22" t="s">
        <v>118</v>
      </c>
      <c r="C11" s="15" t="s">
        <v>122</v>
      </c>
      <c r="D11" s="16" t="s">
        <v>100</v>
      </c>
      <c r="E11" s="17" t="s">
        <v>123</v>
      </c>
      <c r="F11" s="18" t="n">
        <v>8</v>
      </c>
      <c r="G11" s="17" t="s">
        <v>124</v>
      </c>
      <c r="H11" s="21" t="s">
        <v>125</v>
      </c>
      <c r="I11" s="19"/>
      <c r="J11" s="19"/>
    </row>
    <row r="12" customFormat="false" ht="15" hidden="false" customHeight="false" outlineLevel="0" collapsed="false">
      <c r="A12" s="13" t="n">
        <v>8</v>
      </c>
      <c r="B12" s="22" t="s">
        <v>118</v>
      </c>
      <c r="C12" s="15" t="s">
        <v>126</v>
      </c>
      <c r="D12" s="20" t="s">
        <v>107</v>
      </c>
      <c r="E12" s="17" t="s">
        <v>101</v>
      </c>
      <c r="F12" s="18" t="n">
        <v>6</v>
      </c>
      <c r="G12" s="17" t="s">
        <v>127</v>
      </c>
      <c r="H12" s="9"/>
      <c r="I12" s="19"/>
      <c r="J12" s="19"/>
    </row>
    <row r="13" customFormat="false" ht="15" hidden="false" customHeight="false" outlineLevel="0" collapsed="false">
      <c r="A13" s="13" t="n">
        <v>9</v>
      </c>
      <c r="B13" s="22" t="s">
        <v>118</v>
      </c>
      <c r="C13" s="15" t="s">
        <v>128</v>
      </c>
      <c r="D13" s="16" t="s">
        <v>100</v>
      </c>
      <c r="E13" s="17" t="s">
        <v>129</v>
      </c>
      <c r="F13" s="18" t="n">
        <v>7</v>
      </c>
      <c r="G13" s="17" t="s">
        <v>130</v>
      </c>
      <c r="H13" s="9"/>
      <c r="I13" s="19"/>
      <c r="J13" s="19"/>
    </row>
    <row r="14" customFormat="false" ht="15" hidden="false" customHeight="false" outlineLevel="0" collapsed="false">
      <c r="A14" s="13" t="n">
        <v>10</v>
      </c>
      <c r="B14" s="22" t="s">
        <v>118</v>
      </c>
      <c r="C14" s="15" t="s">
        <v>131</v>
      </c>
      <c r="D14" s="16" t="s">
        <v>100</v>
      </c>
      <c r="E14" s="17" t="s">
        <v>132</v>
      </c>
      <c r="F14" s="18" t="n">
        <v>13</v>
      </c>
      <c r="G14" s="17" t="s">
        <v>133</v>
      </c>
      <c r="H14" s="21" t="s">
        <v>134</v>
      </c>
      <c r="I14" s="19"/>
      <c r="J14" s="19"/>
    </row>
    <row r="15" customFormat="false" ht="15" hidden="false" customHeight="false" outlineLevel="0" collapsed="false">
      <c r="A15" s="13" t="n">
        <v>11</v>
      </c>
      <c r="B15" s="22" t="s">
        <v>118</v>
      </c>
      <c r="C15" s="15" t="s">
        <v>135</v>
      </c>
      <c r="D15" s="16" t="s">
        <v>100</v>
      </c>
      <c r="E15" s="17" t="s">
        <v>136</v>
      </c>
      <c r="F15" s="18" t="n">
        <v>6</v>
      </c>
      <c r="G15" s="17" t="s">
        <v>137</v>
      </c>
      <c r="H15" s="9"/>
      <c r="I15" s="19"/>
      <c r="J15" s="19"/>
    </row>
    <row r="16" customFormat="false" ht="15" hidden="false" customHeight="false" outlineLevel="0" collapsed="false">
      <c r="A16" s="13" t="n">
        <v>12</v>
      </c>
      <c r="B16" s="22" t="s">
        <v>118</v>
      </c>
      <c r="C16" s="15" t="s">
        <v>138</v>
      </c>
      <c r="D16" s="20" t="s">
        <v>107</v>
      </c>
      <c r="E16" s="17" t="s">
        <v>104</v>
      </c>
      <c r="F16" s="18" t="n">
        <v>11</v>
      </c>
      <c r="G16" s="17" t="s">
        <v>139</v>
      </c>
      <c r="H16" s="9"/>
      <c r="I16" s="19"/>
      <c r="J16" s="19"/>
    </row>
    <row r="17" customFormat="false" ht="15" hidden="false" customHeight="false" outlineLevel="0" collapsed="false">
      <c r="A17" s="13" t="n">
        <v>13</v>
      </c>
      <c r="B17" s="22" t="s">
        <v>118</v>
      </c>
      <c r="C17" s="15" t="s">
        <v>140</v>
      </c>
      <c r="D17" s="20" t="s">
        <v>107</v>
      </c>
      <c r="E17" s="17" t="s">
        <v>141</v>
      </c>
      <c r="F17" s="18" t="n">
        <v>14</v>
      </c>
      <c r="G17" s="17" t="s">
        <v>142</v>
      </c>
      <c r="H17" s="9"/>
      <c r="I17" s="19"/>
      <c r="J17" s="19"/>
    </row>
    <row r="18" customFormat="false" ht="15" hidden="false" customHeight="false" outlineLevel="0" collapsed="false">
      <c r="A18" s="13" t="n">
        <v>14</v>
      </c>
      <c r="B18" s="23" t="s">
        <v>143</v>
      </c>
      <c r="C18" s="15" t="s">
        <v>144</v>
      </c>
      <c r="D18" s="20" t="s">
        <v>107</v>
      </c>
      <c r="E18" s="17" t="s">
        <v>145</v>
      </c>
      <c r="F18" s="18" t="n">
        <v>6</v>
      </c>
      <c r="G18" s="17" t="s">
        <v>146</v>
      </c>
      <c r="H18" s="9"/>
      <c r="I18" s="19"/>
      <c r="J18" s="19"/>
    </row>
    <row r="19" customFormat="false" ht="15" hidden="false" customHeight="false" outlineLevel="0" collapsed="false">
      <c r="A19" s="13" t="n">
        <v>15</v>
      </c>
      <c r="B19" s="23" t="s">
        <v>143</v>
      </c>
      <c r="C19" s="15" t="s">
        <v>147</v>
      </c>
      <c r="D19" s="16" t="s">
        <v>100</v>
      </c>
      <c r="E19" s="17" t="s">
        <v>112</v>
      </c>
      <c r="F19" s="18" t="n">
        <v>6</v>
      </c>
      <c r="G19" s="17" t="s">
        <v>148</v>
      </c>
      <c r="H19" s="9"/>
      <c r="I19" s="19"/>
      <c r="J19" s="19"/>
    </row>
    <row r="20" customFormat="false" ht="15" hidden="false" customHeight="false" outlineLevel="0" collapsed="false">
      <c r="A20" s="13" t="n">
        <v>16</v>
      </c>
      <c r="B20" s="23" t="s">
        <v>143</v>
      </c>
      <c r="C20" s="15" t="s">
        <v>149</v>
      </c>
      <c r="D20" s="20" t="s">
        <v>107</v>
      </c>
      <c r="E20" s="17" t="s">
        <v>150</v>
      </c>
      <c r="F20" s="18" t="n">
        <v>5</v>
      </c>
      <c r="G20" s="17" t="s">
        <v>151</v>
      </c>
      <c r="H20" s="9"/>
      <c r="I20" s="19"/>
      <c r="J20" s="19"/>
    </row>
    <row r="21" customFormat="false" ht="15" hidden="false" customHeight="false" outlineLevel="0" collapsed="false">
      <c r="A21" s="13" t="n">
        <v>17</v>
      </c>
      <c r="B21" s="23" t="s">
        <v>143</v>
      </c>
      <c r="C21" s="15" t="s">
        <v>152</v>
      </c>
      <c r="D21" s="16" t="s">
        <v>100</v>
      </c>
      <c r="E21" s="17" t="s">
        <v>153</v>
      </c>
      <c r="F21" s="18" t="n">
        <v>10</v>
      </c>
      <c r="G21" s="17" t="s">
        <v>154</v>
      </c>
      <c r="H21" s="9"/>
      <c r="I21" s="19"/>
      <c r="J21" s="19"/>
    </row>
    <row r="22" customFormat="false" ht="15" hidden="false" customHeight="false" outlineLevel="0" collapsed="false">
      <c r="A22" s="13" t="n">
        <v>18</v>
      </c>
      <c r="B22" s="23" t="s">
        <v>143</v>
      </c>
      <c r="C22" s="15" t="s">
        <v>155</v>
      </c>
      <c r="D22" s="20" t="s">
        <v>107</v>
      </c>
      <c r="E22" s="17" t="s">
        <v>156</v>
      </c>
      <c r="F22" s="18" t="n">
        <v>8</v>
      </c>
      <c r="G22" s="17" t="s">
        <v>157</v>
      </c>
      <c r="H22" s="9"/>
      <c r="I22" s="19"/>
      <c r="J22" s="19"/>
    </row>
    <row r="23" customFormat="false" ht="22.35" hidden="false" customHeight="false" outlineLevel="0" collapsed="false">
      <c r="A23" s="13" t="n">
        <v>19</v>
      </c>
      <c r="B23" s="23" t="s">
        <v>143</v>
      </c>
      <c r="C23" s="15" t="s">
        <v>158</v>
      </c>
      <c r="D23" s="16" t="s">
        <v>100</v>
      </c>
      <c r="E23" s="17" t="s">
        <v>159</v>
      </c>
      <c r="F23" s="18" t="n">
        <v>13</v>
      </c>
      <c r="G23" s="17" t="s">
        <v>160</v>
      </c>
      <c r="H23" s="21" t="s">
        <v>161</v>
      </c>
      <c r="I23" s="19"/>
      <c r="J23" s="19"/>
    </row>
    <row r="24" customFormat="false" ht="15" hidden="false" customHeight="false" outlineLevel="0" collapsed="false">
      <c r="A24" s="13" t="n">
        <v>20</v>
      </c>
      <c r="B24" s="23" t="s">
        <v>143</v>
      </c>
      <c r="C24" s="15" t="s">
        <v>162</v>
      </c>
      <c r="D24" s="20" t="s">
        <v>107</v>
      </c>
      <c r="E24" s="17" t="s">
        <v>141</v>
      </c>
      <c r="F24" s="18" t="n">
        <v>14</v>
      </c>
      <c r="G24" s="17" t="s">
        <v>163</v>
      </c>
      <c r="H24" s="9"/>
      <c r="I24" s="19"/>
      <c r="J24" s="19"/>
    </row>
    <row r="25" customFormat="false" ht="15" hidden="false" customHeight="false" outlineLevel="0" collapsed="false">
      <c r="A25" s="13" t="n">
        <v>21</v>
      </c>
      <c r="B25" s="23" t="s">
        <v>143</v>
      </c>
      <c r="C25" s="15" t="s">
        <v>164</v>
      </c>
      <c r="D25" s="20" t="s">
        <v>107</v>
      </c>
      <c r="E25" s="17" t="s">
        <v>165</v>
      </c>
      <c r="F25" s="18" t="n">
        <v>11</v>
      </c>
      <c r="G25" s="17" t="s">
        <v>166</v>
      </c>
      <c r="H25" s="21" t="s">
        <v>167</v>
      </c>
      <c r="I25" s="19"/>
      <c r="J25" s="19"/>
    </row>
    <row r="26" customFormat="false" ht="15" hidden="false" customHeight="false" outlineLevel="0" collapsed="false">
      <c r="A26" s="13" t="n">
        <v>22</v>
      </c>
      <c r="B26" s="23" t="s">
        <v>143</v>
      </c>
      <c r="C26" s="15" t="s">
        <v>168</v>
      </c>
      <c r="D26" s="16" t="s">
        <v>100</v>
      </c>
      <c r="E26" s="17" t="s">
        <v>150</v>
      </c>
      <c r="F26" s="18" t="n">
        <v>5</v>
      </c>
      <c r="G26" s="17" t="s">
        <v>169</v>
      </c>
      <c r="H26" s="21" t="s">
        <v>170</v>
      </c>
      <c r="I26" s="19"/>
      <c r="J26" s="19"/>
    </row>
    <row r="27" customFormat="false" ht="15" hidden="false" customHeight="false" outlineLevel="0" collapsed="false">
      <c r="A27" s="13" t="n">
        <v>23</v>
      </c>
      <c r="B27" s="24" t="s">
        <v>171</v>
      </c>
      <c r="C27" s="15" t="s">
        <v>172</v>
      </c>
      <c r="D27" s="20" t="s">
        <v>107</v>
      </c>
      <c r="E27" s="17" t="s">
        <v>173</v>
      </c>
      <c r="F27" s="18" t="n">
        <v>8</v>
      </c>
      <c r="G27" s="17" t="s">
        <v>174</v>
      </c>
      <c r="H27" s="9"/>
      <c r="I27" s="19"/>
      <c r="J27" s="19"/>
    </row>
    <row r="28" customFormat="false" ht="15" hidden="false" customHeight="false" outlineLevel="0" collapsed="false">
      <c r="A28" s="13" t="n">
        <v>24</v>
      </c>
      <c r="B28" s="24" t="s">
        <v>171</v>
      </c>
      <c r="C28" s="15" t="s">
        <v>175</v>
      </c>
      <c r="D28" s="16" t="s">
        <v>100</v>
      </c>
      <c r="E28" s="17" t="s">
        <v>176</v>
      </c>
      <c r="F28" s="18" t="n">
        <v>7</v>
      </c>
      <c r="G28" s="17" t="s">
        <v>177</v>
      </c>
      <c r="H28" s="9"/>
      <c r="I28" s="19"/>
      <c r="J28" s="19"/>
    </row>
    <row r="29" customFormat="false" ht="15" hidden="false" customHeight="false" outlineLevel="0" collapsed="false">
      <c r="A29" s="13" t="n">
        <v>25</v>
      </c>
      <c r="B29" s="24" t="s">
        <v>171</v>
      </c>
      <c r="C29" s="15" t="s">
        <v>178</v>
      </c>
      <c r="D29" s="20" t="s">
        <v>107</v>
      </c>
      <c r="E29" s="17" t="s">
        <v>132</v>
      </c>
      <c r="F29" s="18" t="n">
        <v>13</v>
      </c>
      <c r="G29" s="17" t="s">
        <v>179</v>
      </c>
      <c r="H29" s="9"/>
      <c r="I29" s="19"/>
      <c r="J29" s="19"/>
    </row>
    <row r="30" customFormat="false" ht="15" hidden="false" customHeight="false" outlineLevel="0" collapsed="false">
      <c r="A30" s="13" t="n">
        <v>26</v>
      </c>
      <c r="B30" s="24" t="s">
        <v>171</v>
      </c>
      <c r="C30" s="15" t="s">
        <v>180</v>
      </c>
      <c r="D30" s="16" t="s">
        <v>100</v>
      </c>
      <c r="E30" s="17" t="s">
        <v>181</v>
      </c>
      <c r="F30" s="18" t="n">
        <v>11</v>
      </c>
      <c r="G30" s="17" t="s">
        <v>182</v>
      </c>
      <c r="H30" s="9"/>
      <c r="I30" s="19"/>
      <c r="J30" s="19"/>
    </row>
    <row r="31" customFormat="false" ht="15" hidden="false" customHeight="false" outlineLevel="0" collapsed="false">
      <c r="A31" s="13" t="n">
        <v>27</v>
      </c>
      <c r="B31" s="24" t="s">
        <v>171</v>
      </c>
      <c r="C31" s="15" t="s">
        <v>183</v>
      </c>
      <c r="D31" s="20" t="s">
        <v>107</v>
      </c>
      <c r="E31" s="17" t="s">
        <v>184</v>
      </c>
      <c r="F31" s="18" t="n">
        <v>8</v>
      </c>
      <c r="G31" s="17" t="s">
        <v>185</v>
      </c>
      <c r="H31" s="21" t="s">
        <v>186</v>
      </c>
      <c r="I31" s="19"/>
      <c r="J31" s="19"/>
    </row>
    <row r="32" customFormat="false" ht="15" hidden="false" customHeight="false" outlineLevel="0" collapsed="false">
      <c r="A32" s="13" t="n">
        <v>28</v>
      </c>
      <c r="B32" s="24" t="s">
        <v>171</v>
      </c>
      <c r="C32" s="15" t="s">
        <v>187</v>
      </c>
      <c r="D32" s="16" t="s">
        <v>100</v>
      </c>
      <c r="E32" s="17" t="s">
        <v>108</v>
      </c>
      <c r="F32" s="18" t="n">
        <v>11</v>
      </c>
      <c r="G32" s="17" t="s">
        <v>188</v>
      </c>
      <c r="H32" s="9"/>
      <c r="I32" s="19"/>
      <c r="J32" s="19"/>
    </row>
    <row r="33" customFormat="false" ht="15" hidden="false" customHeight="false" outlineLevel="0" collapsed="false">
      <c r="A33" s="13" t="n">
        <v>29</v>
      </c>
      <c r="B33" s="24" t="s">
        <v>171</v>
      </c>
      <c r="C33" s="15" t="s">
        <v>189</v>
      </c>
      <c r="D33" s="16" t="s">
        <v>100</v>
      </c>
      <c r="E33" s="17" t="s">
        <v>190</v>
      </c>
      <c r="F33" s="18" t="n">
        <v>14</v>
      </c>
      <c r="G33" s="17" t="s">
        <v>191</v>
      </c>
      <c r="H33" s="21" t="s">
        <v>192</v>
      </c>
      <c r="I33" s="19"/>
      <c r="J33" s="19"/>
    </row>
    <row r="34" customFormat="false" ht="15" hidden="false" customHeight="false" outlineLevel="0" collapsed="false">
      <c r="A34" s="13" t="n">
        <v>30</v>
      </c>
      <c r="B34" s="24" t="s">
        <v>171</v>
      </c>
      <c r="C34" s="15" t="s">
        <v>193</v>
      </c>
      <c r="D34" s="20" t="s">
        <v>107</v>
      </c>
      <c r="E34" s="17" t="s">
        <v>194</v>
      </c>
      <c r="F34" s="18" t="n">
        <v>5</v>
      </c>
      <c r="G34" s="17" t="s">
        <v>195</v>
      </c>
      <c r="H34" s="9"/>
      <c r="I34" s="19"/>
      <c r="J34" s="19"/>
    </row>
    <row r="35" customFormat="false" ht="15" hidden="false" customHeight="false" outlineLevel="0" collapsed="false">
      <c r="A35" s="13" t="n">
        <v>31</v>
      </c>
      <c r="B35" s="24" t="s">
        <v>171</v>
      </c>
      <c r="C35" s="15" t="s">
        <v>196</v>
      </c>
      <c r="D35" s="20" t="s">
        <v>107</v>
      </c>
      <c r="E35" s="17" t="s">
        <v>197</v>
      </c>
      <c r="F35" s="18" t="n">
        <v>13</v>
      </c>
      <c r="G35" s="17" t="s">
        <v>198</v>
      </c>
      <c r="H35" s="9"/>
      <c r="I35" s="19"/>
      <c r="J35" s="19"/>
    </row>
    <row r="36" customFormat="false" ht="15" hidden="false" customHeight="false" outlineLevel="0" collapsed="false">
      <c r="A36" s="13" t="n">
        <v>32</v>
      </c>
      <c r="B36" s="24" t="s">
        <v>171</v>
      </c>
      <c r="C36" s="15" t="s">
        <v>199</v>
      </c>
      <c r="D36" s="20" t="s">
        <v>107</v>
      </c>
      <c r="E36" s="17" t="s">
        <v>153</v>
      </c>
      <c r="F36" s="18" t="n">
        <v>10</v>
      </c>
      <c r="G36" s="17" t="s">
        <v>200</v>
      </c>
      <c r="H36" s="21" t="s">
        <v>201</v>
      </c>
      <c r="I36" s="19"/>
      <c r="J36" s="19"/>
    </row>
    <row r="37" customFormat="false" ht="15" hidden="false" customHeight="false" outlineLevel="0" collapsed="false">
      <c r="A37" s="13" t="n">
        <v>33</v>
      </c>
      <c r="B37" s="25" t="s">
        <v>202</v>
      </c>
      <c r="C37" s="15" t="s">
        <v>203</v>
      </c>
      <c r="D37" s="26" t="s">
        <v>204</v>
      </c>
      <c r="E37" s="17" t="s">
        <v>129</v>
      </c>
      <c r="F37" s="18" t="n">
        <v>7</v>
      </c>
      <c r="G37" s="17" t="s">
        <v>205</v>
      </c>
      <c r="H37" s="21" t="s">
        <v>206</v>
      </c>
      <c r="I37" s="19"/>
      <c r="J37" s="19"/>
    </row>
    <row r="38" customFormat="false" ht="15" hidden="false" customHeight="false" outlineLevel="0" collapsed="false">
      <c r="A38" s="13" t="n">
        <v>34</v>
      </c>
      <c r="B38" s="25" t="s">
        <v>202</v>
      </c>
      <c r="C38" s="15" t="s">
        <v>207</v>
      </c>
      <c r="D38" s="16" t="s">
        <v>100</v>
      </c>
      <c r="E38" s="17" t="s">
        <v>141</v>
      </c>
      <c r="F38" s="18" t="n">
        <v>14</v>
      </c>
      <c r="G38" s="17" t="s">
        <v>208</v>
      </c>
      <c r="H38" s="21" t="s">
        <v>209</v>
      </c>
      <c r="I38" s="19"/>
      <c r="J38" s="19"/>
    </row>
    <row r="39" customFormat="false" ht="15" hidden="false" customHeight="false" outlineLevel="0" collapsed="false">
      <c r="A39" s="13" t="n">
        <v>35</v>
      </c>
      <c r="B39" s="25" t="s">
        <v>202</v>
      </c>
      <c r="C39" s="15" t="s">
        <v>210</v>
      </c>
      <c r="D39" s="16" t="s">
        <v>100</v>
      </c>
      <c r="E39" s="17" t="s">
        <v>197</v>
      </c>
      <c r="F39" s="18" t="n">
        <v>13</v>
      </c>
      <c r="G39" s="17" t="s">
        <v>211</v>
      </c>
      <c r="H39" s="21" t="s">
        <v>212</v>
      </c>
      <c r="I39" s="19"/>
      <c r="J39" s="19"/>
    </row>
    <row r="40" customFormat="false" ht="15" hidden="false" customHeight="false" outlineLevel="0" collapsed="false">
      <c r="A40" s="13" t="n">
        <v>36</v>
      </c>
      <c r="B40" s="25" t="s">
        <v>202</v>
      </c>
      <c r="C40" s="15" t="s">
        <v>213</v>
      </c>
      <c r="D40" s="20" t="s">
        <v>107</v>
      </c>
      <c r="E40" s="17" t="s">
        <v>214</v>
      </c>
      <c r="F40" s="18" t="n">
        <v>10</v>
      </c>
      <c r="G40" s="17" t="s">
        <v>215</v>
      </c>
      <c r="H40" s="21" t="s">
        <v>216</v>
      </c>
      <c r="I40" s="19"/>
      <c r="J40" s="19"/>
    </row>
    <row r="41" customFormat="false" ht="15" hidden="false" customHeight="false" outlineLevel="0" collapsed="false">
      <c r="A41" s="13" t="n">
        <v>37</v>
      </c>
      <c r="B41" s="25" t="s">
        <v>202</v>
      </c>
      <c r="C41" s="15" t="s">
        <v>217</v>
      </c>
      <c r="D41" s="20" t="s">
        <v>107</v>
      </c>
      <c r="E41" s="17" t="s">
        <v>112</v>
      </c>
      <c r="F41" s="18" t="n">
        <v>6</v>
      </c>
      <c r="G41" s="17" t="s">
        <v>218</v>
      </c>
      <c r="H41" s="9"/>
      <c r="I41" s="19"/>
      <c r="J41" s="19"/>
    </row>
    <row r="42" customFormat="false" ht="15" hidden="false" customHeight="false" outlineLevel="0" collapsed="false">
      <c r="A42" s="13" t="n">
        <v>38</v>
      </c>
      <c r="B42" s="25" t="s">
        <v>202</v>
      </c>
      <c r="C42" s="15" t="s">
        <v>219</v>
      </c>
      <c r="D42" s="16" t="s">
        <v>100</v>
      </c>
      <c r="E42" s="17" t="s">
        <v>173</v>
      </c>
      <c r="F42" s="18" t="n">
        <v>8</v>
      </c>
      <c r="G42" s="17" t="s">
        <v>220</v>
      </c>
      <c r="H42" s="21" t="s">
        <v>221</v>
      </c>
      <c r="I42" s="19"/>
      <c r="J42" s="19"/>
    </row>
    <row r="43" customFormat="false" ht="15" hidden="false" customHeight="false" outlineLevel="0" collapsed="false">
      <c r="A43" s="13" t="n">
        <v>39</v>
      </c>
      <c r="B43" s="25" t="s">
        <v>202</v>
      </c>
      <c r="C43" s="15" t="s">
        <v>222</v>
      </c>
      <c r="D43" s="27" t="s">
        <v>223</v>
      </c>
      <c r="E43" s="17" t="s">
        <v>190</v>
      </c>
      <c r="F43" s="18" t="n">
        <v>14</v>
      </c>
      <c r="G43" s="17" t="s">
        <v>224</v>
      </c>
      <c r="H43" s="21" t="s">
        <v>225</v>
      </c>
      <c r="I43" s="19"/>
      <c r="J43" s="19"/>
    </row>
    <row r="44" customFormat="false" ht="15" hidden="false" customHeight="false" outlineLevel="0" collapsed="false">
      <c r="A44" s="13" t="n">
        <v>40</v>
      </c>
      <c r="B44" s="25" t="s">
        <v>202</v>
      </c>
      <c r="C44" s="15" t="s">
        <v>226</v>
      </c>
      <c r="D44" s="20" t="s">
        <v>107</v>
      </c>
      <c r="E44" s="17" t="s">
        <v>108</v>
      </c>
      <c r="F44" s="18" t="n">
        <v>11</v>
      </c>
      <c r="G44" s="17" t="s">
        <v>227</v>
      </c>
      <c r="H44" s="21" t="s">
        <v>228</v>
      </c>
      <c r="I44" s="19"/>
      <c r="J44" s="19"/>
    </row>
    <row r="45" customFormat="false" ht="15" hidden="false" customHeight="false" outlineLevel="0" collapsed="false">
      <c r="A45" s="13" t="n">
        <v>41</v>
      </c>
      <c r="B45" s="25" t="s">
        <v>202</v>
      </c>
      <c r="C45" s="15" t="s">
        <v>229</v>
      </c>
      <c r="D45" s="16" t="s">
        <v>100</v>
      </c>
      <c r="E45" s="17" t="s">
        <v>184</v>
      </c>
      <c r="F45" s="18" t="n">
        <v>8</v>
      </c>
      <c r="G45" s="17" t="s">
        <v>230</v>
      </c>
      <c r="H45" s="21" t="s">
        <v>231</v>
      </c>
      <c r="I45" s="19"/>
      <c r="J45" s="19"/>
    </row>
    <row r="46" customFormat="false" ht="15" hidden="false" customHeight="false" outlineLevel="0" collapsed="false">
      <c r="A46" s="13" t="n">
        <v>42</v>
      </c>
      <c r="B46" s="25" t="s">
        <v>202</v>
      </c>
      <c r="C46" s="15" t="s">
        <v>232</v>
      </c>
      <c r="D46" s="20" t="s">
        <v>107</v>
      </c>
      <c r="E46" s="17" t="s">
        <v>101</v>
      </c>
      <c r="F46" s="18" t="n">
        <v>6</v>
      </c>
      <c r="G46" s="17" t="s">
        <v>233</v>
      </c>
      <c r="H46" s="21" t="s">
        <v>234</v>
      </c>
      <c r="I46" s="19"/>
      <c r="J46" s="19"/>
    </row>
    <row r="47" customFormat="false" ht="15" hidden="false" customHeight="false" outlineLevel="0" collapsed="false">
      <c r="A47" s="13" t="n">
        <v>43</v>
      </c>
      <c r="B47" s="25" t="s">
        <v>202</v>
      </c>
      <c r="C47" s="15" t="s">
        <v>235</v>
      </c>
      <c r="D47" s="20" t="s">
        <v>107</v>
      </c>
      <c r="E47" s="17" t="s">
        <v>176</v>
      </c>
      <c r="F47" s="18" t="n">
        <v>7</v>
      </c>
      <c r="G47" s="17" t="s">
        <v>236</v>
      </c>
      <c r="H47" s="9"/>
      <c r="I47" s="19"/>
      <c r="J47" s="19"/>
    </row>
    <row r="48" customFormat="false" ht="15" hidden="false" customHeight="false" outlineLevel="0" collapsed="false">
      <c r="A48" s="13" t="n">
        <v>44</v>
      </c>
      <c r="B48" s="28" t="s">
        <v>237</v>
      </c>
      <c r="C48" s="15" t="s">
        <v>238</v>
      </c>
      <c r="D48" s="16" t="s">
        <v>100</v>
      </c>
      <c r="E48" s="17" t="s">
        <v>239</v>
      </c>
      <c r="F48" s="18" t="n">
        <v>10</v>
      </c>
      <c r="G48" s="17" t="s">
        <v>240</v>
      </c>
      <c r="H48" s="9"/>
      <c r="I48" s="19"/>
      <c r="J48" s="19"/>
    </row>
    <row r="49" customFormat="false" ht="15" hidden="false" customHeight="false" outlineLevel="0" collapsed="false">
      <c r="A49" s="13" t="n">
        <v>45</v>
      </c>
      <c r="B49" s="28" t="s">
        <v>237</v>
      </c>
      <c r="C49" s="15" t="s">
        <v>241</v>
      </c>
      <c r="D49" s="27" t="s">
        <v>223</v>
      </c>
      <c r="E49" s="17" t="s">
        <v>159</v>
      </c>
      <c r="F49" s="18" t="n">
        <v>13</v>
      </c>
      <c r="G49" s="17" t="s">
        <v>242</v>
      </c>
      <c r="H49" s="21" t="s">
        <v>243</v>
      </c>
      <c r="I49" s="19"/>
      <c r="J49" s="19"/>
    </row>
    <row r="50" customFormat="false" ht="15" hidden="false" customHeight="false" outlineLevel="0" collapsed="false">
      <c r="A50" s="13" t="n">
        <v>46</v>
      </c>
      <c r="B50" s="28" t="s">
        <v>237</v>
      </c>
      <c r="C50" s="15" t="s">
        <v>244</v>
      </c>
      <c r="D50" s="20" t="s">
        <v>107</v>
      </c>
      <c r="E50" s="17" t="s">
        <v>129</v>
      </c>
      <c r="F50" s="18" t="n">
        <v>7</v>
      </c>
      <c r="G50" s="17" t="s">
        <v>245</v>
      </c>
      <c r="H50" s="21" t="s">
        <v>246</v>
      </c>
      <c r="I50" s="19"/>
      <c r="J50" s="19"/>
    </row>
    <row r="51" customFormat="false" ht="15" hidden="false" customHeight="false" outlineLevel="0" collapsed="false">
      <c r="A51" s="13" t="n">
        <v>47</v>
      </c>
      <c r="B51" s="28" t="s">
        <v>237</v>
      </c>
      <c r="C51" s="15" t="s">
        <v>247</v>
      </c>
      <c r="D51" s="20" t="s">
        <v>107</v>
      </c>
      <c r="E51" s="17" t="s">
        <v>248</v>
      </c>
      <c r="F51" s="18" t="n">
        <v>7</v>
      </c>
      <c r="G51" s="17" t="s">
        <v>249</v>
      </c>
      <c r="H51" s="9"/>
      <c r="I51" s="19"/>
      <c r="J51" s="19"/>
    </row>
    <row r="52" customFormat="false" ht="15" hidden="false" customHeight="false" outlineLevel="0" collapsed="false">
      <c r="A52" s="13" t="n">
        <v>48</v>
      </c>
      <c r="B52" s="28" t="s">
        <v>237</v>
      </c>
      <c r="C52" s="15" t="s">
        <v>250</v>
      </c>
      <c r="D52" s="16" t="s">
        <v>100</v>
      </c>
      <c r="E52" s="17" t="s">
        <v>214</v>
      </c>
      <c r="F52" s="18" t="n">
        <v>10</v>
      </c>
      <c r="G52" s="17" t="s">
        <v>251</v>
      </c>
      <c r="H52" s="9"/>
      <c r="I52" s="19"/>
      <c r="J52" s="19"/>
    </row>
    <row r="53" customFormat="false" ht="15" hidden="false" customHeight="false" outlineLevel="0" collapsed="false">
      <c r="A53" s="13" t="n">
        <v>49</v>
      </c>
      <c r="B53" s="28" t="s">
        <v>237</v>
      </c>
      <c r="C53" s="15" t="s">
        <v>252</v>
      </c>
      <c r="D53" s="20" t="s">
        <v>107</v>
      </c>
      <c r="E53" s="17" t="s">
        <v>253</v>
      </c>
      <c r="F53" s="18" t="n">
        <v>10</v>
      </c>
      <c r="G53" s="17" t="s">
        <v>254</v>
      </c>
      <c r="H53" s="21" t="s">
        <v>255</v>
      </c>
      <c r="I53" s="19"/>
      <c r="J53" s="19"/>
    </row>
    <row r="54" customFormat="false" ht="15" hidden="false" customHeight="false" outlineLevel="0" collapsed="false">
      <c r="A54" s="13" t="n">
        <v>50</v>
      </c>
      <c r="B54" s="28" t="s">
        <v>237</v>
      </c>
      <c r="C54" s="15" t="s">
        <v>256</v>
      </c>
      <c r="D54" s="20" t="s">
        <v>107</v>
      </c>
      <c r="E54" s="17" t="s">
        <v>239</v>
      </c>
      <c r="F54" s="18" t="n">
        <v>10</v>
      </c>
      <c r="G54" s="17" t="s">
        <v>257</v>
      </c>
      <c r="H54" s="9"/>
      <c r="I54" s="19"/>
      <c r="J54" s="19"/>
    </row>
    <row r="55" customFormat="false" ht="15" hidden="false" customHeight="false" outlineLevel="0" collapsed="false">
      <c r="A55" s="13" t="n">
        <v>51</v>
      </c>
      <c r="B55" s="28" t="s">
        <v>237</v>
      </c>
      <c r="C55" s="15" t="s">
        <v>258</v>
      </c>
      <c r="D55" s="26" t="s">
        <v>204</v>
      </c>
      <c r="E55" s="17" t="s">
        <v>165</v>
      </c>
      <c r="F55" s="18" t="n">
        <v>11</v>
      </c>
      <c r="G55" s="17" t="s">
        <v>259</v>
      </c>
      <c r="H55" s="21" t="s">
        <v>260</v>
      </c>
      <c r="I55" s="19"/>
      <c r="J55" s="19"/>
    </row>
    <row r="56" customFormat="false" ht="15" hidden="false" customHeight="false" outlineLevel="0" collapsed="false">
      <c r="A56" s="13" t="n">
        <v>52</v>
      </c>
      <c r="B56" s="28" t="s">
        <v>237</v>
      </c>
      <c r="C56" s="15" t="s">
        <v>261</v>
      </c>
      <c r="D56" s="16" t="s">
        <v>100</v>
      </c>
      <c r="E56" s="17" t="s">
        <v>262</v>
      </c>
      <c r="F56" s="18" t="n">
        <v>11</v>
      </c>
      <c r="G56" s="17" t="s">
        <v>263</v>
      </c>
      <c r="H56" s="9"/>
      <c r="I56" s="19"/>
      <c r="J56" s="19"/>
    </row>
    <row r="57" customFormat="false" ht="15" hidden="false" customHeight="false" outlineLevel="0" collapsed="false">
      <c r="A57" s="13" t="n">
        <v>53</v>
      </c>
      <c r="B57" s="28" t="s">
        <v>237</v>
      </c>
      <c r="C57" s="15" t="s">
        <v>264</v>
      </c>
      <c r="D57" s="16" t="s">
        <v>100</v>
      </c>
      <c r="E57" s="17" t="s">
        <v>265</v>
      </c>
      <c r="F57" s="18" t="n">
        <v>7</v>
      </c>
      <c r="G57" s="17" t="s">
        <v>266</v>
      </c>
      <c r="H57" s="21" t="s">
        <v>234</v>
      </c>
      <c r="I57" s="19"/>
      <c r="J57" s="19"/>
    </row>
    <row r="58" customFormat="false" ht="15" hidden="false" customHeight="false" outlineLevel="0" collapsed="false">
      <c r="A58" s="13" t="n">
        <v>54</v>
      </c>
      <c r="B58" s="28" t="s">
        <v>237</v>
      </c>
      <c r="C58" s="15" t="s">
        <v>267</v>
      </c>
      <c r="D58" s="20" t="s">
        <v>107</v>
      </c>
      <c r="E58" s="17" t="s">
        <v>123</v>
      </c>
      <c r="F58" s="18" t="n">
        <v>8</v>
      </c>
      <c r="G58" s="17" t="s">
        <v>268</v>
      </c>
      <c r="H58" s="21" t="s">
        <v>269</v>
      </c>
      <c r="I58" s="19"/>
      <c r="J58" s="19"/>
    </row>
    <row r="59" customFormat="false" ht="15" hidden="false" customHeight="false" outlineLevel="0" collapsed="false">
      <c r="A59" s="13" t="n">
        <v>55</v>
      </c>
      <c r="B59" s="28" t="s">
        <v>237</v>
      </c>
      <c r="C59" s="15" t="s">
        <v>270</v>
      </c>
      <c r="D59" s="26" t="s">
        <v>204</v>
      </c>
      <c r="E59" s="17" t="s">
        <v>132</v>
      </c>
      <c r="F59" s="18" t="n">
        <v>13</v>
      </c>
      <c r="G59" s="17" t="s">
        <v>271</v>
      </c>
      <c r="H59" s="21" t="s">
        <v>272</v>
      </c>
      <c r="I59" s="19"/>
      <c r="J59" s="19"/>
    </row>
    <row r="60" customFormat="false" ht="15" hidden="false" customHeight="false" outlineLevel="0" collapsed="false">
      <c r="A60" s="13" t="n">
        <v>56</v>
      </c>
      <c r="B60" s="28" t="s">
        <v>237</v>
      </c>
      <c r="C60" s="15" t="s">
        <v>273</v>
      </c>
      <c r="D60" s="16" t="s">
        <v>100</v>
      </c>
      <c r="E60" s="17" t="s">
        <v>156</v>
      </c>
      <c r="F60" s="18" t="n">
        <v>8</v>
      </c>
      <c r="G60" s="17" t="s">
        <v>271</v>
      </c>
      <c r="H60" s="21" t="s">
        <v>274</v>
      </c>
      <c r="I60" s="19"/>
      <c r="J60" s="19"/>
    </row>
    <row r="61" customFormat="false" ht="15" hidden="false" customHeight="false" outlineLevel="0" collapsed="false">
      <c r="A61" s="13" t="n">
        <v>57</v>
      </c>
      <c r="B61" s="29" t="s">
        <v>275</v>
      </c>
      <c r="C61" s="15" t="s">
        <v>276</v>
      </c>
      <c r="D61" s="20" t="s">
        <v>107</v>
      </c>
      <c r="E61" s="17" t="s">
        <v>181</v>
      </c>
      <c r="F61" s="18" t="n">
        <v>11</v>
      </c>
      <c r="G61" s="17" t="s">
        <v>277</v>
      </c>
      <c r="H61" s="9"/>
      <c r="I61" s="19"/>
      <c r="J61" s="19"/>
    </row>
    <row r="62" customFormat="false" ht="15" hidden="false" customHeight="false" outlineLevel="0" collapsed="false">
      <c r="A62" s="13" t="n">
        <v>58</v>
      </c>
      <c r="B62" s="29" t="s">
        <v>275</v>
      </c>
      <c r="C62" s="15" t="s">
        <v>278</v>
      </c>
      <c r="D62" s="26" t="s">
        <v>204</v>
      </c>
      <c r="E62" s="17" t="s">
        <v>112</v>
      </c>
      <c r="F62" s="18" t="n">
        <v>6</v>
      </c>
      <c r="G62" s="17" t="s">
        <v>279</v>
      </c>
      <c r="H62" s="21" t="s">
        <v>260</v>
      </c>
      <c r="I62" s="19"/>
      <c r="J62" s="19"/>
    </row>
    <row r="63" customFormat="false" ht="15" hidden="false" customHeight="false" outlineLevel="0" collapsed="false">
      <c r="A63" s="13" t="n">
        <v>59</v>
      </c>
      <c r="B63" s="29" t="s">
        <v>275</v>
      </c>
      <c r="C63" s="15" t="s">
        <v>280</v>
      </c>
      <c r="D63" s="20" t="s">
        <v>107</v>
      </c>
      <c r="E63" s="17" t="s">
        <v>239</v>
      </c>
      <c r="F63" s="18" t="n">
        <v>10</v>
      </c>
      <c r="G63" s="17" t="s">
        <v>281</v>
      </c>
      <c r="H63" s="21" t="s">
        <v>282</v>
      </c>
      <c r="I63" s="19"/>
      <c r="J63" s="19"/>
    </row>
    <row r="64" customFormat="false" ht="15" hidden="false" customHeight="false" outlineLevel="0" collapsed="false">
      <c r="A64" s="13" t="n">
        <v>60</v>
      </c>
      <c r="B64" s="29" t="s">
        <v>275</v>
      </c>
      <c r="C64" s="15" t="s">
        <v>283</v>
      </c>
      <c r="D64" s="20" t="s">
        <v>107</v>
      </c>
      <c r="E64" s="17" t="s">
        <v>253</v>
      </c>
      <c r="F64" s="18" t="n">
        <v>10</v>
      </c>
      <c r="G64" s="17" t="s">
        <v>284</v>
      </c>
      <c r="H64" s="9"/>
      <c r="I64" s="19"/>
      <c r="J64" s="19"/>
    </row>
    <row r="65" customFormat="false" ht="15" hidden="false" customHeight="false" outlineLevel="0" collapsed="false">
      <c r="A65" s="13" t="n">
        <v>61</v>
      </c>
      <c r="B65" s="29" t="s">
        <v>275</v>
      </c>
      <c r="C65" s="15" t="s">
        <v>285</v>
      </c>
      <c r="D65" s="16" t="s">
        <v>100</v>
      </c>
      <c r="E65" s="17" t="s">
        <v>136</v>
      </c>
      <c r="F65" s="18" t="n">
        <v>6</v>
      </c>
      <c r="G65" s="17"/>
      <c r="H65" s="21" t="s">
        <v>286</v>
      </c>
      <c r="I65" s="19"/>
      <c r="J65" s="19"/>
    </row>
    <row r="66" customFormat="false" ht="15" hidden="false" customHeight="false" outlineLevel="0" collapsed="false">
      <c r="A66" s="13" t="n">
        <v>62</v>
      </c>
      <c r="B66" s="29" t="s">
        <v>275</v>
      </c>
      <c r="C66" s="15" t="s">
        <v>287</v>
      </c>
      <c r="D66" s="20" t="s">
        <v>107</v>
      </c>
      <c r="E66" s="17" t="s">
        <v>120</v>
      </c>
      <c r="F66" s="18" t="n">
        <v>13</v>
      </c>
      <c r="G66" s="17"/>
      <c r="H66" s="21" t="s">
        <v>288</v>
      </c>
      <c r="I66" s="19"/>
      <c r="J66" s="19"/>
    </row>
    <row r="67" customFormat="false" ht="15" hidden="false" customHeight="false" outlineLevel="0" collapsed="false">
      <c r="A67" s="13" t="n">
        <v>63</v>
      </c>
      <c r="B67" s="29" t="s">
        <v>275</v>
      </c>
      <c r="C67" s="15" t="s">
        <v>289</v>
      </c>
      <c r="D67" s="20" t="s">
        <v>107</v>
      </c>
      <c r="E67" s="17" t="s">
        <v>290</v>
      </c>
      <c r="F67" s="18" t="n">
        <v>9</v>
      </c>
      <c r="G67" s="17"/>
      <c r="H67" s="9"/>
      <c r="I67" s="19"/>
      <c r="J67" s="19"/>
    </row>
    <row r="68" customFormat="false" ht="15" hidden="false" customHeight="false" outlineLevel="0" collapsed="false">
      <c r="A68" s="13" t="n">
        <v>64</v>
      </c>
      <c r="B68" s="29" t="s">
        <v>275</v>
      </c>
      <c r="C68" s="15" t="s">
        <v>291</v>
      </c>
      <c r="D68" s="20" t="s">
        <v>107</v>
      </c>
      <c r="E68" s="17" t="s">
        <v>190</v>
      </c>
      <c r="F68" s="18" t="n">
        <v>14</v>
      </c>
      <c r="G68" s="17"/>
      <c r="H68" s="21" t="s">
        <v>292</v>
      </c>
      <c r="I68" s="19"/>
      <c r="J68" s="19"/>
    </row>
    <row r="69" customFormat="false" ht="15" hidden="false" customHeight="false" outlineLevel="0" collapsed="false">
      <c r="A69" s="13" t="n">
        <v>65</v>
      </c>
      <c r="B69" s="29" t="s">
        <v>275</v>
      </c>
      <c r="C69" s="15" t="s">
        <v>293</v>
      </c>
      <c r="D69" s="20" t="s">
        <v>107</v>
      </c>
      <c r="E69" s="17" t="s">
        <v>265</v>
      </c>
      <c r="F69" s="18" t="n">
        <v>7</v>
      </c>
      <c r="G69" s="17"/>
      <c r="H69" s="9"/>
      <c r="I69" s="19"/>
      <c r="J69" s="19"/>
    </row>
    <row r="70" customFormat="false" ht="15" hidden="false" customHeight="false" outlineLevel="0" collapsed="false">
      <c r="A70" s="13" t="n">
        <v>66</v>
      </c>
      <c r="B70" s="29" t="s">
        <v>275</v>
      </c>
      <c r="C70" s="15" t="s">
        <v>294</v>
      </c>
      <c r="D70" s="20" t="s">
        <v>107</v>
      </c>
      <c r="E70" s="17" t="s">
        <v>265</v>
      </c>
      <c r="F70" s="18" t="n">
        <v>7</v>
      </c>
      <c r="G70" s="17"/>
      <c r="H70" s="21" t="s">
        <v>234</v>
      </c>
      <c r="I70" s="19"/>
      <c r="J70" s="19"/>
    </row>
    <row r="71" customFormat="false" ht="15" hidden="false" customHeight="false" outlineLevel="0" collapsed="false">
      <c r="A71" s="13" t="n">
        <v>67</v>
      </c>
      <c r="B71" s="29" t="s">
        <v>275</v>
      </c>
      <c r="C71" s="15" t="s">
        <v>295</v>
      </c>
      <c r="D71" s="16" t="s">
        <v>100</v>
      </c>
      <c r="E71" s="17" t="s">
        <v>290</v>
      </c>
      <c r="F71" s="18" t="n">
        <v>9</v>
      </c>
      <c r="G71" s="17"/>
      <c r="H71" s="9"/>
      <c r="I71" s="19"/>
      <c r="J71" s="19"/>
    </row>
    <row r="72" customFormat="false" ht="15" hidden="false" customHeight="false" outlineLevel="0" collapsed="false">
      <c r="A72" s="13" t="n">
        <v>68</v>
      </c>
      <c r="B72" s="29" t="s">
        <v>275</v>
      </c>
      <c r="C72" s="15" t="s">
        <v>296</v>
      </c>
      <c r="D72" s="20" t="s">
        <v>107</v>
      </c>
      <c r="E72" s="17" t="s">
        <v>297</v>
      </c>
      <c r="F72" s="18" t="n">
        <v>9</v>
      </c>
      <c r="G72" s="17"/>
      <c r="H72" s="21" t="s">
        <v>298</v>
      </c>
      <c r="I72" s="19"/>
      <c r="J72" s="19"/>
    </row>
    <row r="73" customFormat="false" ht="15" hidden="false" customHeight="false" outlineLevel="0" collapsed="false">
      <c r="A73" s="13" t="n">
        <v>69</v>
      </c>
      <c r="B73" s="29" t="s">
        <v>275</v>
      </c>
      <c r="C73" s="15" t="s">
        <v>299</v>
      </c>
      <c r="D73" s="16" t="s">
        <v>100</v>
      </c>
      <c r="E73" s="17" t="s">
        <v>165</v>
      </c>
      <c r="F73" s="18" t="n">
        <v>11</v>
      </c>
      <c r="G73" s="17"/>
      <c r="H73" s="9"/>
      <c r="I73" s="19"/>
      <c r="J73" s="19"/>
    </row>
    <row r="74" customFormat="false" ht="15" hidden="false" customHeight="false" outlineLevel="0" collapsed="false">
      <c r="A74" s="13" t="n">
        <v>70</v>
      </c>
      <c r="B74" s="29" t="s">
        <v>275</v>
      </c>
      <c r="C74" s="15" t="s">
        <v>300</v>
      </c>
      <c r="D74" s="20" t="s">
        <v>107</v>
      </c>
      <c r="E74" s="17" t="s">
        <v>214</v>
      </c>
      <c r="F74" s="18" t="n">
        <v>10</v>
      </c>
      <c r="G74" s="17"/>
      <c r="H74" s="9"/>
      <c r="I74" s="19"/>
      <c r="J74" s="19"/>
    </row>
    <row r="75" customFormat="false" ht="15" hidden="false" customHeight="false" outlineLevel="0" collapsed="false">
      <c r="A75" s="13" t="n">
        <v>71</v>
      </c>
      <c r="B75" s="29" t="s">
        <v>275</v>
      </c>
      <c r="C75" s="15" t="s">
        <v>301</v>
      </c>
      <c r="D75" s="16" t="s">
        <v>100</v>
      </c>
      <c r="E75" s="17" t="s">
        <v>165</v>
      </c>
      <c r="F75" s="18" t="n">
        <v>11</v>
      </c>
      <c r="G75" s="17"/>
      <c r="H75" s="21" t="s">
        <v>234</v>
      </c>
      <c r="I75" s="19"/>
      <c r="J75" s="19"/>
    </row>
    <row r="76" customFormat="false" ht="15" hidden="false" customHeight="false" outlineLevel="0" collapsed="false">
      <c r="A76" s="13" t="n">
        <v>72</v>
      </c>
      <c r="B76" s="30" t="s">
        <v>302</v>
      </c>
      <c r="C76" s="15" t="s">
        <v>303</v>
      </c>
      <c r="D76" s="20" t="s">
        <v>107</v>
      </c>
      <c r="E76" s="17" t="s">
        <v>290</v>
      </c>
      <c r="F76" s="18" t="n">
        <v>9</v>
      </c>
      <c r="G76" s="17"/>
      <c r="H76" s="21" t="s">
        <v>304</v>
      </c>
      <c r="I76" s="19"/>
      <c r="J76" s="19"/>
    </row>
    <row r="77" customFormat="false" ht="15" hidden="false" customHeight="false" outlineLevel="0" collapsed="false">
      <c r="A77" s="13" t="n">
        <v>73</v>
      </c>
      <c r="B77" s="30" t="s">
        <v>302</v>
      </c>
      <c r="C77" s="15" t="s">
        <v>305</v>
      </c>
      <c r="D77" s="16" t="s">
        <v>100</v>
      </c>
      <c r="E77" s="17" t="s">
        <v>297</v>
      </c>
      <c r="F77" s="18" t="n">
        <v>9</v>
      </c>
      <c r="G77" s="17"/>
      <c r="H77" s="9"/>
      <c r="I77" s="19"/>
      <c r="J77" s="19"/>
    </row>
    <row r="78" customFormat="false" ht="15" hidden="false" customHeight="false" outlineLevel="0" collapsed="false">
      <c r="A78" s="13" t="n">
        <v>74</v>
      </c>
      <c r="B78" s="30" t="s">
        <v>302</v>
      </c>
      <c r="C78" s="15" t="s">
        <v>306</v>
      </c>
      <c r="D78" s="20" t="s">
        <v>107</v>
      </c>
      <c r="E78" s="17" t="s">
        <v>265</v>
      </c>
      <c r="F78" s="18" t="n">
        <v>7</v>
      </c>
      <c r="G78" s="17"/>
      <c r="H78" s="21" t="s">
        <v>307</v>
      </c>
      <c r="I78" s="19"/>
      <c r="J78" s="19"/>
    </row>
    <row r="79" customFormat="false" ht="15" hidden="false" customHeight="false" outlineLevel="0" collapsed="false">
      <c r="A79" s="13" t="n">
        <v>75</v>
      </c>
      <c r="B79" s="30" t="s">
        <v>302</v>
      </c>
      <c r="C79" s="15" t="s">
        <v>308</v>
      </c>
      <c r="D79" s="20" t="s">
        <v>107</v>
      </c>
      <c r="E79" s="17" t="s">
        <v>145</v>
      </c>
      <c r="F79" s="18" t="n">
        <v>6</v>
      </c>
      <c r="G79" s="17"/>
      <c r="H79" s="9"/>
      <c r="I79" s="19"/>
      <c r="J79" s="19"/>
    </row>
    <row r="80" customFormat="false" ht="15" hidden="false" customHeight="false" outlineLevel="0" collapsed="false">
      <c r="A80" s="13" t="n">
        <v>76</v>
      </c>
      <c r="B80" s="30" t="s">
        <v>302</v>
      </c>
      <c r="C80" s="15" t="s">
        <v>309</v>
      </c>
      <c r="D80" s="20" t="s">
        <v>107</v>
      </c>
      <c r="E80" s="17" t="s">
        <v>176</v>
      </c>
      <c r="F80" s="18" t="n">
        <v>7</v>
      </c>
      <c r="G80" s="17"/>
      <c r="H80" s="9"/>
      <c r="I80" s="19"/>
      <c r="J80" s="19"/>
    </row>
    <row r="81" customFormat="false" ht="15" hidden="false" customHeight="false" outlineLevel="0" collapsed="false">
      <c r="A81" s="13" t="n">
        <v>77</v>
      </c>
      <c r="B81" s="30" t="s">
        <v>302</v>
      </c>
      <c r="C81" s="15" t="s">
        <v>310</v>
      </c>
      <c r="D81" s="20" t="s">
        <v>107</v>
      </c>
      <c r="E81" s="17" t="s">
        <v>181</v>
      </c>
      <c r="F81" s="18" t="n">
        <v>11</v>
      </c>
      <c r="G81" s="17"/>
      <c r="H81" s="9"/>
      <c r="I81" s="19"/>
      <c r="J81" s="19"/>
    </row>
    <row r="82" customFormat="false" ht="15" hidden="false" customHeight="false" outlineLevel="0" collapsed="false">
      <c r="A82" s="13" t="n">
        <v>78</v>
      </c>
      <c r="B82" s="30" t="s">
        <v>302</v>
      </c>
      <c r="C82" s="15" t="s">
        <v>311</v>
      </c>
      <c r="D82" s="27" t="s">
        <v>223</v>
      </c>
      <c r="E82" s="17" t="s">
        <v>123</v>
      </c>
      <c r="F82" s="18" t="n">
        <v>8</v>
      </c>
      <c r="G82" s="17"/>
      <c r="H82" s="21" t="s">
        <v>312</v>
      </c>
      <c r="I82" s="19"/>
      <c r="J82" s="19"/>
    </row>
    <row r="83" customFormat="false" ht="15" hidden="false" customHeight="false" outlineLevel="0" collapsed="false">
      <c r="A83" s="13" t="n">
        <v>79</v>
      </c>
      <c r="B83" s="30" t="s">
        <v>302</v>
      </c>
      <c r="C83" s="15" t="s">
        <v>313</v>
      </c>
      <c r="D83" s="20" t="s">
        <v>107</v>
      </c>
      <c r="E83" s="17" t="s">
        <v>297</v>
      </c>
      <c r="F83" s="18" t="n">
        <v>9</v>
      </c>
      <c r="G83" s="17"/>
      <c r="H83" s="21" t="s">
        <v>314</v>
      </c>
      <c r="I83" s="19"/>
      <c r="J83" s="19"/>
    </row>
    <row r="84" customFormat="false" ht="15" hidden="false" customHeight="false" outlineLevel="0" collapsed="false">
      <c r="A84" s="13" t="n">
        <v>80</v>
      </c>
      <c r="B84" s="30" t="s">
        <v>302</v>
      </c>
      <c r="C84" s="15" t="s">
        <v>315</v>
      </c>
      <c r="D84" s="20" t="s">
        <v>107</v>
      </c>
      <c r="E84" s="17" t="s">
        <v>120</v>
      </c>
      <c r="F84" s="18" t="n">
        <v>13</v>
      </c>
      <c r="G84" s="17"/>
      <c r="H84" s="9"/>
      <c r="I84" s="19"/>
      <c r="J84" s="19"/>
    </row>
    <row r="85" customFormat="false" ht="15" hidden="false" customHeight="false" outlineLevel="0" collapsed="false">
      <c r="A85" s="13" t="n">
        <v>81</v>
      </c>
      <c r="B85" s="30" t="s">
        <v>302</v>
      </c>
      <c r="C85" s="15" t="s">
        <v>316</v>
      </c>
      <c r="D85" s="16" t="s">
        <v>100</v>
      </c>
      <c r="E85" s="17" t="s">
        <v>290</v>
      </c>
      <c r="F85" s="18" t="n">
        <v>9</v>
      </c>
      <c r="G85" s="17"/>
      <c r="H85" s="9"/>
      <c r="I85" s="19"/>
      <c r="J85" s="19"/>
    </row>
    <row r="86" customFormat="false" ht="15" hidden="false" customHeight="false" outlineLevel="0" collapsed="false">
      <c r="A86" s="13" t="n">
        <v>82</v>
      </c>
      <c r="B86" s="30" t="s">
        <v>302</v>
      </c>
      <c r="C86" s="15" t="s">
        <v>317</v>
      </c>
      <c r="D86" s="26" t="s">
        <v>204</v>
      </c>
      <c r="E86" s="17" t="s">
        <v>141</v>
      </c>
      <c r="F86" s="18" t="n">
        <v>14</v>
      </c>
      <c r="G86" s="17"/>
      <c r="H86" s="9"/>
      <c r="I86" s="19"/>
      <c r="J86" s="19"/>
    </row>
    <row r="87" customFormat="false" ht="15" hidden="false" customHeight="false" outlineLevel="0" collapsed="false">
      <c r="A87" s="13" t="n">
        <v>83</v>
      </c>
      <c r="B87" s="30" t="s">
        <v>302</v>
      </c>
      <c r="C87" s="15" t="s">
        <v>318</v>
      </c>
      <c r="D87" s="20" t="s">
        <v>107</v>
      </c>
      <c r="E87" s="17" t="s">
        <v>248</v>
      </c>
      <c r="F87" s="18" t="n">
        <v>7</v>
      </c>
      <c r="G87" s="17"/>
      <c r="H87" s="21" t="s">
        <v>319</v>
      </c>
      <c r="I87" s="19"/>
      <c r="J87" s="19"/>
    </row>
    <row r="88" customFormat="false" ht="15" hidden="false" customHeight="false" outlineLevel="0" collapsed="false">
      <c r="A88" s="13" t="n">
        <v>84</v>
      </c>
      <c r="B88" s="30" t="s">
        <v>302</v>
      </c>
      <c r="C88" s="15" t="s">
        <v>320</v>
      </c>
      <c r="D88" s="20" t="s">
        <v>107</v>
      </c>
      <c r="E88" s="17" t="s">
        <v>150</v>
      </c>
      <c r="F88" s="18" t="n">
        <v>5</v>
      </c>
      <c r="G88" s="17"/>
      <c r="H88" s="9"/>
      <c r="I88" s="19"/>
      <c r="J88" s="19"/>
    </row>
    <row r="89" customFormat="false" ht="15" hidden="false" customHeight="false" outlineLevel="0" collapsed="false">
      <c r="A89" s="13" t="n">
        <v>85</v>
      </c>
      <c r="B89" s="30" t="s">
        <v>302</v>
      </c>
      <c r="C89" s="15" t="s">
        <v>321</v>
      </c>
      <c r="D89" s="20" t="s">
        <v>107</v>
      </c>
      <c r="E89" s="17" t="s">
        <v>123</v>
      </c>
      <c r="F89" s="18" t="n">
        <v>8</v>
      </c>
      <c r="G89" s="17"/>
      <c r="H89" s="9"/>
      <c r="I89" s="19"/>
      <c r="J89" s="19"/>
    </row>
    <row r="90" customFormat="false" ht="15" hidden="false" customHeight="false" outlineLevel="0" collapsed="false">
      <c r="A90" s="13" t="n">
        <v>86</v>
      </c>
      <c r="B90" s="30" t="s">
        <v>302</v>
      </c>
      <c r="C90" s="15" t="s">
        <v>322</v>
      </c>
      <c r="D90" s="16" t="s">
        <v>100</v>
      </c>
      <c r="E90" s="17" t="s">
        <v>253</v>
      </c>
      <c r="F90" s="18" t="n">
        <v>10</v>
      </c>
      <c r="G90" s="17"/>
      <c r="H90" s="9"/>
      <c r="I90" s="19"/>
      <c r="J90" s="19"/>
    </row>
    <row r="91" customFormat="false" ht="15" hidden="false" customHeight="false" outlineLevel="0" collapsed="false">
      <c r="A91" s="13" t="n">
        <v>87</v>
      </c>
      <c r="B91" s="30" t="s">
        <v>302</v>
      </c>
      <c r="C91" s="15" t="s">
        <v>323</v>
      </c>
      <c r="D91" s="26" t="s">
        <v>204</v>
      </c>
      <c r="E91" s="17" t="s">
        <v>248</v>
      </c>
      <c r="F91" s="18" t="n">
        <v>7</v>
      </c>
      <c r="G91" s="17"/>
      <c r="H91" s="21" t="s">
        <v>272</v>
      </c>
      <c r="I91" s="19"/>
      <c r="J91" s="19"/>
    </row>
    <row r="92" customFormat="false" ht="15" hidden="false" customHeight="false" outlineLevel="0" collapsed="false">
      <c r="A92" s="13" t="n">
        <v>88</v>
      </c>
      <c r="B92" s="30" t="s">
        <v>302</v>
      </c>
      <c r="C92" s="15" t="s">
        <v>324</v>
      </c>
      <c r="D92" s="16" t="s">
        <v>100</v>
      </c>
      <c r="E92" s="17" t="s">
        <v>116</v>
      </c>
      <c r="F92" s="18" t="n">
        <v>11</v>
      </c>
      <c r="G92" s="17"/>
      <c r="H92" s="21" t="s">
        <v>298</v>
      </c>
      <c r="I92" s="19"/>
      <c r="J92" s="19"/>
    </row>
    <row r="93" customFormat="false" ht="15" hidden="false" customHeight="false" outlineLevel="0" collapsed="false">
      <c r="A93" s="13" t="n">
        <v>89</v>
      </c>
      <c r="B93" s="30" t="s">
        <v>302</v>
      </c>
      <c r="C93" s="15" t="s">
        <v>325</v>
      </c>
      <c r="D93" s="26" t="s">
        <v>204</v>
      </c>
      <c r="E93" s="17" t="s">
        <v>108</v>
      </c>
      <c r="F93" s="18" t="n">
        <v>11</v>
      </c>
      <c r="G93" s="17"/>
      <c r="H93" s="9"/>
      <c r="I93" s="19"/>
      <c r="J93" s="19"/>
    </row>
    <row r="94" customFormat="false" ht="15" hidden="false" customHeight="false" outlineLevel="0" collapsed="false">
      <c r="A94" s="13" t="n">
        <v>90</v>
      </c>
      <c r="B94" s="31" t="s">
        <v>326</v>
      </c>
      <c r="C94" s="15" t="s">
        <v>327</v>
      </c>
      <c r="D94" s="20" t="s">
        <v>107</v>
      </c>
      <c r="E94" s="17" t="s">
        <v>181</v>
      </c>
      <c r="F94" s="18" t="n">
        <v>11</v>
      </c>
      <c r="G94" s="17"/>
      <c r="H94" s="21" t="s">
        <v>234</v>
      </c>
      <c r="I94" s="19"/>
      <c r="J94" s="19"/>
    </row>
    <row r="95" customFormat="false" ht="15" hidden="false" customHeight="false" outlineLevel="0" collapsed="false">
      <c r="A95" s="13" t="n">
        <v>91</v>
      </c>
      <c r="B95" s="31" t="s">
        <v>326</v>
      </c>
      <c r="C95" s="15" t="s">
        <v>328</v>
      </c>
      <c r="D95" s="27" t="s">
        <v>223</v>
      </c>
      <c r="E95" s="17" t="s">
        <v>239</v>
      </c>
      <c r="F95" s="18" t="n">
        <v>10</v>
      </c>
      <c r="G95" s="17"/>
      <c r="H95" s="9"/>
      <c r="I95" s="19"/>
      <c r="J95" s="19"/>
    </row>
    <row r="96" customFormat="false" ht="15" hidden="false" customHeight="false" outlineLevel="0" collapsed="false">
      <c r="A96" s="13" t="n">
        <v>92</v>
      </c>
      <c r="B96" s="31" t="s">
        <v>326</v>
      </c>
      <c r="C96" s="15" t="s">
        <v>329</v>
      </c>
      <c r="D96" s="26" t="s">
        <v>204</v>
      </c>
      <c r="E96" s="17" t="s">
        <v>153</v>
      </c>
      <c r="F96" s="18" t="n">
        <v>10</v>
      </c>
      <c r="G96" s="17"/>
      <c r="H96" s="21" t="s">
        <v>330</v>
      </c>
      <c r="I96" s="19"/>
      <c r="J96" s="19"/>
    </row>
    <row r="97" customFormat="false" ht="15" hidden="false" customHeight="false" outlineLevel="0" collapsed="false">
      <c r="A97" s="13" t="n">
        <v>93</v>
      </c>
      <c r="B97" s="31" t="s">
        <v>326</v>
      </c>
      <c r="C97" s="15" t="s">
        <v>331</v>
      </c>
      <c r="D97" s="26" t="s">
        <v>204</v>
      </c>
      <c r="E97" s="17" t="s">
        <v>123</v>
      </c>
      <c r="F97" s="18" t="n">
        <v>8</v>
      </c>
      <c r="G97" s="17"/>
      <c r="H97" s="9"/>
      <c r="I97" s="19"/>
      <c r="J97" s="19"/>
    </row>
    <row r="98" customFormat="false" ht="15" hidden="false" customHeight="false" outlineLevel="0" collapsed="false">
      <c r="A98" s="13" t="n">
        <v>94</v>
      </c>
      <c r="B98" s="31" t="s">
        <v>326</v>
      </c>
      <c r="C98" s="15" t="s">
        <v>332</v>
      </c>
      <c r="D98" s="16" t="s">
        <v>100</v>
      </c>
      <c r="E98" s="17" t="s">
        <v>194</v>
      </c>
      <c r="F98" s="18" t="n">
        <v>5</v>
      </c>
      <c r="G98" s="17"/>
      <c r="H98" s="21" t="s">
        <v>333</v>
      </c>
      <c r="I98" s="19"/>
      <c r="J98" s="19"/>
    </row>
    <row r="99" customFormat="false" ht="15" hidden="false" customHeight="false" outlineLevel="0" collapsed="false">
      <c r="A99" s="13" t="n">
        <v>95</v>
      </c>
      <c r="B99" s="31" t="s">
        <v>326</v>
      </c>
      <c r="C99" s="15" t="s">
        <v>334</v>
      </c>
      <c r="D99" s="20" t="s">
        <v>107</v>
      </c>
      <c r="E99" s="17" t="s">
        <v>129</v>
      </c>
      <c r="F99" s="18" t="n">
        <v>7</v>
      </c>
      <c r="G99" s="17"/>
      <c r="H99" s="9"/>
      <c r="I99" s="19"/>
      <c r="J99" s="19"/>
    </row>
    <row r="100" customFormat="false" ht="15" hidden="false" customHeight="false" outlineLevel="0" collapsed="false">
      <c r="A100" s="13" t="n">
        <v>96</v>
      </c>
      <c r="B100" s="31" t="s">
        <v>326</v>
      </c>
      <c r="C100" s="15" t="s">
        <v>335</v>
      </c>
      <c r="D100" s="20" t="s">
        <v>107</v>
      </c>
      <c r="E100" s="17" t="s">
        <v>165</v>
      </c>
      <c r="F100" s="18" t="n">
        <v>11</v>
      </c>
      <c r="G100" s="17"/>
      <c r="H100" s="9"/>
      <c r="I100" s="19"/>
      <c r="J100" s="19"/>
    </row>
    <row r="101" customFormat="false" ht="15" hidden="false" customHeight="false" outlineLevel="0" collapsed="false">
      <c r="A101" s="13" t="n">
        <v>97</v>
      </c>
      <c r="B101" s="31" t="s">
        <v>326</v>
      </c>
      <c r="C101" s="15" t="s">
        <v>336</v>
      </c>
      <c r="D101" s="20" t="s">
        <v>107</v>
      </c>
      <c r="E101" s="17" t="s">
        <v>153</v>
      </c>
      <c r="F101" s="18" t="n">
        <v>10</v>
      </c>
      <c r="G101" s="17"/>
      <c r="H101" s="21" t="s">
        <v>337</v>
      </c>
      <c r="I101" s="19"/>
      <c r="J101" s="19"/>
    </row>
    <row r="102" customFormat="false" ht="15" hidden="false" customHeight="false" outlineLevel="0" collapsed="false">
      <c r="A102" s="13" t="n">
        <v>98</v>
      </c>
      <c r="B102" s="31" t="s">
        <v>326</v>
      </c>
      <c r="C102" s="15" t="s">
        <v>338</v>
      </c>
      <c r="D102" s="26" t="s">
        <v>204</v>
      </c>
      <c r="E102" s="17" t="s">
        <v>265</v>
      </c>
      <c r="F102" s="18" t="n">
        <v>7</v>
      </c>
      <c r="G102" s="17"/>
      <c r="H102" s="9"/>
      <c r="I102" s="19"/>
      <c r="J102" s="19"/>
    </row>
    <row r="103" customFormat="false" ht="15" hidden="false" customHeight="false" outlineLevel="0" collapsed="false">
      <c r="A103" s="13" t="n">
        <v>99</v>
      </c>
      <c r="B103" s="31" t="s">
        <v>326</v>
      </c>
      <c r="C103" s="15" t="s">
        <v>339</v>
      </c>
      <c r="D103" s="26" t="s">
        <v>204</v>
      </c>
      <c r="E103" s="17" t="s">
        <v>239</v>
      </c>
      <c r="F103" s="18" t="n">
        <v>10</v>
      </c>
      <c r="G103" s="17"/>
      <c r="H103" s="21" t="s">
        <v>234</v>
      </c>
      <c r="I103" s="19"/>
      <c r="J103" s="19"/>
    </row>
    <row r="104" customFormat="false" ht="15" hidden="false" customHeight="false" outlineLevel="0" collapsed="false">
      <c r="A104" s="13" t="n">
        <v>100</v>
      </c>
      <c r="B104" s="31" t="s">
        <v>326</v>
      </c>
      <c r="C104" s="15" t="s">
        <v>340</v>
      </c>
      <c r="D104" s="26" t="s">
        <v>204</v>
      </c>
      <c r="E104" s="17" t="s">
        <v>101</v>
      </c>
      <c r="F104" s="18" t="n">
        <v>6</v>
      </c>
      <c r="G104" s="17"/>
      <c r="H104" s="9"/>
      <c r="I104" s="19"/>
      <c r="J104" s="19"/>
    </row>
    <row r="105" customFormat="false" ht="15" hidden="false" customHeight="false" outlineLevel="0" collapsed="false">
      <c r="A105" s="13" t="n">
        <v>101</v>
      </c>
      <c r="B105" s="31" t="s">
        <v>326</v>
      </c>
      <c r="C105" s="15" t="s">
        <v>341</v>
      </c>
      <c r="D105" s="27" t="s">
        <v>223</v>
      </c>
      <c r="E105" s="17" t="s">
        <v>120</v>
      </c>
      <c r="F105" s="18" t="n">
        <v>13</v>
      </c>
      <c r="G105" s="17"/>
      <c r="H105" s="21" t="s">
        <v>342</v>
      </c>
      <c r="I105" s="19"/>
      <c r="J105" s="19"/>
    </row>
    <row r="106" customFormat="false" ht="15" hidden="false" customHeight="false" outlineLevel="0" collapsed="false">
      <c r="A106" s="13" t="n">
        <v>102</v>
      </c>
      <c r="B106" s="31" t="s">
        <v>326</v>
      </c>
      <c r="C106" s="15" t="s">
        <v>343</v>
      </c>
      <c r="D106" s="26" t="s">
        <v>204</v>
      </c>
      <c r="E106" s="17" t="s">
        <v>150</v>
      </c>
      <c r="F106" s="18" t="n">
        <v>5</v>
      </c>
      <c r="G106" s="17"/>
      <c r="H106" s="21" t="s">
        <v>344</v>
      </c>
      <c r="I106" s="19"/>
      <c r="J106" s="19"/>
    </row>
    <row r="107" customFormat="false" ht="15" hidden="false" customHeight="false" outlineLevel="0" collapsed="false">
      <c r="A107" s="13" t="n">
        <v>103</v>
      </c>
      <c r="B107" s="31" t="s">
        <v>326</v>
      </c>
      <c r="C107" s="15" t="s">
        <v>345</v>
      </c>
      <c r="D107" s="20" t="s">
        <v>107</v>
      </c>
      <c r="E107" s="17" t="s">
        <v>194</v>
      </c>
      <c r="F107" s="18" t="n">
        <v>5</v>
      </c>
      <c r="G107" s="17"/>
      <c r="H107" s="9"/>
      <c r="I107" s="19"/>
      <c r="J107" s="19"/>
    </row>
    <row r="108" customFormat="false" ht="15" hidden="false" customHeight="false" outlineLevel="0" collapsed="false">
      <c r="A108" s="13" t="n">
        <v>104</v>
      </c>
      <c r="B108" s="31" t="s">
        <v>326</v>
      </c>
      <c r="C108" s="15" t="s">
        <v>346</v>
      </c>
      <c r="D108" s="20" t="s">
        <v>107</v>
      </c>
      <c r="E108" s="17" t="s">
        <v>116</v>
      </c>
      <c r="F108" s="18" t="n">
        <v>11</v>
      </c>
      <c r="G108" s="17"/>
      <c r="H108" s="21" t="s">
        <v>347</v>
      </c>
      <c r="I108" s="19"/>
      <c r="J108" s="19"/>
    </row>
    <row r="109" customFormat="false" ht="15" hidden="false" customHeight="false" outlineLevel="0" collapsed="false">
      <c r="A109" s="13" t="n">
        <v>105</v>
      </c>
      <c r="B109" s="31" t="s">
        <v>326</v>
      </c>
      <c r="C109" s="15" t="s">
        <v>348</v>
      </c>
      <c r="D109" s="20" t="s">
        <v>107</v>
      </c>
      <c r="E109" s="17" t="s">
        <v>262</v>
      </c>
      <c r="F109" s="18" t="n">
        <v>11</v>
      </c>
      <c r="G109" s="17"/>
      <c r="H109" s="9"/>
      <c r="I109" s="19"/>
      <c r="J109" s="19"/>
    </row>
    <row r="110" customFormat="false" ht="15" hidden="false" customHeight="false" outlineLevel="0" collapsed="false">
      <c r="A110" s="13" t="n">
        <v>106</v>
      </c>
      <c r="B110" s="31" t="s">
        <v>326</v>
      </c>
      <c r="C110" s="15" t="s">
        <v>349</v>
      </c>
      <c r="D110" s="20" t="s">
        <v>107</v>
      </c>
      <c r="E110" s="17" t="s">
        <v>262</v>
      </c>
      <c r="F110" s="18" t="n">
        <v>11</v>
      </c>
      <c r="G110" s="17"/>
      <c r="H110" s="21" t="s">
        <v>298</v>
      </c>
      <c r="I110" s="19"/>
      <c r="J110" s="19"/>
    </row>
    <row r="111" customFormat="false" ht="15" hidden="false" customHeight="false" outlineLevel="0" collapsed="false">
      <c r="A111" s="13" t="n">
        <v>107</v>
      </c>
      <c r="B111" s="31" t="s">
        <v>326</v>
      </c>
      <c r="C111" s="15" t="s">
        <v>350</v>
      </c>
      <c r="D111" s="27" t="s">
        <v>223</v>
      </c>
      <c r="E111" s="17" t="s">
        <v>262</v>
      </c>
      <c r="F111" s="18" t="n">
        <v>11</v>
      </c>
      <c r="G111" s="17"/>
      <c r="H111" s="9"/>
      <c r="I111" s="19"/>
      <c r="J111" s="19"/>
    </row>
    <row r="112" customFormat="false" ht="15" hidden="false" customHeight="false" outlineLevel="0" collapsed="false">
      <c r="A112" s="13" t="n">
        <v>108</v>
      </c>
      <c r="B112" s="31" t="s">
        <v>326</v>
      </c>
      <c r="C112" s="15" t="s">
        <v>351</v>
      </c>
      <c r="D112" s="16" t="s">
        <v>100</v>
      </c>
      <c r="E112" s="17" t="s">
        <v>194</v>
      </c>
      <c r="F112" s="18" t="n">
        <v>5</v>
      </c>
      <c r="G112" s="17"/>
      <c r="H112" s="21" t="s">
        <v>352</v>
      </c>
      <c r="I112" s="19"/>
      <c r="J112" s="19"/>
    </row>
    <row r="113" customFormat="false" ht="15" hidden="false" customHeight="false" outlineLevel="0" collapsed="false">
      <c r="A113" s="13" t="n">
        <v>109</v>
      </c>
      <c r="B113" s="32" t="s">
        <v>353</v>
      </c>
      <c r="C113" s="15" t="s">
        <v>354</v>
      </c>
      <c r="D113" s="26" t="s">
        <v>204</v>
      </c>
      <c r="E113" s="17" t="s">
        <v>176</v>
      </c>
      <c r="F113" s="18" t="n">
        <v>7</v>
      </c>
      <c r="G113" s="17"/>
      <c r="H113" s="9"/>
      <c r="I113" s="19"/>
      <c r="J113" s="19"/>
    </row>
    <row r="114" customFormat="false" ht="15" hidden="false" customHeight="false" outlineLevel="0" collapsed="false">
      <c r="A114" s="13" t="n">
        <v>110</v>
      </c>
      <c r="B114" s="32" t="s">
        <v>353</v>
      </c>
      <c r="C114" s="15" t="s">
        <v>355</v>
      </c>
      <c r="D114" s="27" t="s">
        <v>223</v>
      </c>
      <c r="E114" s="17" t="s">
        <v>104</v>
      </c>
      <c r="F114" s="18" t="n">
        <v>11</v>
      </c>
      <c r="G114" s="17"/>
      <c r="H114" s="9"/>
      <c r="I114" s="19"/>
      <c r="J114" s="19"/>
    </row>
    <row r="115" customFormat="false" ht="15" hidden="false" customHeight="false" outlineLevel="0" collapsed="false">
      <c r="A115" s="13" t="n">
        <v>111</v>
      </c>
      <c r="B115" s="32" t="s">
        <v>353</v>
      </c>
      <c r="C115" s="15" t="s">
        <v>356</v>
      </c>
      <c r="D115" s="26" t="s">
        <v>204</v>
      </c>
      <c r="E115" s="17" t="s">
        <v>253</v>
      </c>
      <c r="F115" s="18" t="n">
        <v>10</v>
      </c>
      <c r="G115" s="17"/>
      <c r="H115" s="9"/>
      <c r="I115" s="19"/>
      <c r="J115" s="19"/>
    </row>
    <row r="116" customFormat="false" ht="15" hidden="false" customHeight="false" outlineLevel="0" collapsed="false">
      <c r="A116" s="13" t="n">
        <v>112</v>
      </c>
      <c r="B116" s="32" t="s">
        <v>353</v>
      </c>
      <c r="C116" s="15" t="s">
        <v>357</v>
      </c>
      <c r="D116" s="26" t="s">
        <v>204</v>
      </c>
      <c r="E116" s="17" t="s">
        <v>184</v>
      </c>
      <c r="F116" s="18" t="n">
        <v>8</v>
      </c>
      <c r="G116" s="17"/>
      <c r="H116" s="21" t="s">
        <v>234</v>
      </c>
      <c r="I116" s="19"/>
      <c r="J116" s="19"/>
    </row>
    <row r="117" customFormat="false" ht="15" hidden="false" customHeight="false" outlineLevel="0" collapsed="false">
      <c r="A117" s="13" t="n">
        <v>113</v>
      </c>
      <c r="B117" s="32" t="s">
        <v>353</v>
      </c>
      <c r="C117" s="15" t="s">
        <v>358</v>
      </c>
      <c r="D117" s="16" t="s">
        <v>100</v>
      </c>
      <c r="E117" s="17" t="s">
        <v>239</v>
      </c>
      <c r="F117" s="18" t="n">
        <v>10</v>
      </c>
      <c r="G117" s="17"/>
      <c r="H117" s="21" t="s">
        <v>359</v>
      </c>
      <c r="I117" s="19"/>
      <c r="J117" s="19"/>
    </row>
    <row r="118" customFormat="false" ht="15" hidden="false" customHeight="false" outlineLevel="0" collapsed="false">
      <c r="A118" s="13" t="n">
        <v>114</v>
      </c>
      <c r="B118" s="32" t="s">
        <v>353</v>
      </c>
      <c r="C118" s="15" t="s">
        <v>360</v>
      </c>
      <c r="D118" s="27" t="s">
        <v>223</v>
      </c>
      <c r="E118" s="17" t="s">
        <v>153</v>
      </c>
      <c r="F118" s="18" t="n">
        <v>10</v>
      </c>
      <c r="G118" s="17"/>
      <c r="H118" s="9"/>
      <c r="I118" s="19"/>
      <c r="J118" s="19"/>
    </row>
    <row r="119" customFormat="false" ht="15" hidden="false" customHeight="false" outlineLevel="0" collapsed="false">
      <c r="A119" s="13" t="n">
        <v>115</v>
      </c>
      <c r="B119" s="32" t="s">
        <v>353</v>
      </c>
      <c r="C119" s="15" t="s">
        <v>361</v>
      </c>
      <c r="D119" s="16" t="s">
        <v>100</v>
      </c>
      <c r="E119" s="17" t="s">
        <v>214</v>
      </c>
      <c r="F119" s="18" t="n">
        <v>10</v>
      </c>
      <c r="G119" s="17"/>
      <c r="H119" s="9"/>
      <c r="I119" s="19"/>
      <c r="J119" s="19"/>
    </row>
    <row r="120" customFormat="false" ht="15" hidden="false" customHeight="false" outlineLevel="0" collapsed="false">
      <c r="A120" s="13" t="n">
        <v>116</v>
      </c>
      <c r="B120" s="32" t="s">
        <v>353</v>
      </c>
      <c r="C120" s="15" t="s">
        <v>362</v>
      </c>
      <c r="D120" s="20" t="s">
        <v>107</v>
      </c>
      <c r="E120" s="17" t="s">
        <v>159</v>
      </c>
      <c r="F120" s="18" t="n">
        <v>13</v>
      </c>
      <c r="G120" s="17"/>
      <c r="H120" s="9"/>
      <c r="I120" s="19"/>
      <c r="J120" s="19"/>
    </row>
    <row r="121" customFormat="false" ht="15" hidden="false" customHeight="false" outlineLevel="0" collapsed="false">
      <c r="A121" s="13" t="n">
        <v>117</v>
      </c>
      <c r="B121" s="32" t="s">
        <v>353</v>
      </c>
      <c r="C121" s="15" t="s">
        <v>363</v>
      </c>
      <c r="D121" s="16" t="s">
        <v>100</v>
      </c>
      <c r="E121" s="17" t="s">
        <v>253</v>
      </c>
      <c r="F121" s="18" t="n">
        <v>10</v>
      </c>
      <c r="G121" s="17"/>
      <c r="H121" s="21" t="s">
        <v>364</v>
      </c>
      <c r="I121" s="19"/>
      <c r="J121" s="19"/>
    </row>
    <row r="122" customFormat="false" ht="15" hidden="false" customHeight="false" outlineLevel="0" collapsed="false">
      <c r="A122" s="13" t="n">
        <v>118</v>
      </c>
      <c r="B122" s="32" t="s">
        <v>353</v>
      </c>
      <c r="C122" s="15" t="s">
        <v>365</v>
      </c>
      <c r="D122" s="33" t="s">
        <v>366</v>
      </c>
      <c r="E122" s="17" t="s">
        <v>116</v>
      </c>
      <c r="F122" s="18" t="n">
        <v>11</v>
      </c>
      <c r="G122" s="17"/>
      <c r="H122" s="21" t="s">
        <v>367</v>
      </c>
      <c r="I122" s="19"/>
      <c r="J122" s="19"/>
    </row>
    <row r="123" customFormat="false" ht="15" hidden="false" customHeight="false" outlineLevel="0" collapsed="false">
      <c r="A123" s="13" t="n">
        <v>119</v>
      </c>
      <c r="B123" s="32" t="s">
        <v>353</v>
      </c>
      <c r="C123" s="15" t="s">
        <v>368</v>
      </c>
      <c r="D123" s="33" t="s">
        <v>366</v>
      </c>
      <c r="E123" s="17" t="s">
        <v>253</v>
      </c>
      <c r="F123" s="18" t="n">
        <v>10</v>
      </c>
      <c r="G123" s="17"/>
      <c r="H123" s="21" t="s">
        <v>367</v>
      </c>
      <c r="I123" s="19"/>
      <c r="J123" s="19"/>
    </row>
    <row r="124" customFormat="false" ht="15" hidden="false" customHeight="false" outlineLevel="0" collapsed="false">
      <c r="A124" s="13" t="n">
        <v>120</v>
      </c>
      <c r="B124" s="32" t="s">
        <v>353</v>
      </c>
      <c r="C124" s="15" t="s">
        <v>369</v>
      </c>
      <c r="D124" s="33" t="s">
        <v>366</v>
      </c>
      <c r="E124" s="17" t="s">
        <v>156</v>
      </c>
      <c r="F124" s="18" t="n">
        <v>8</v>
      </c>
      <c r="G124" s="17"/>
      <c r="H124" s="21" t="s">
        <v>367</v>
      </c>
      <c r="I124" s="19"/>
      <c r="J124" s="19"/>
    </row>
  </sheetData>
  <mergeCells count="2">
    <mergeCell ref="A1:I1"/>
    <mergeCell ref="A2:I2"/>
  </mergeCells>
  <conditionalFormatting sqref="A5:J124">
    <cfRule type="expression" priority="2" aboveAverage="0" equalAverage="0" bottom="0" percent="0" rank="0" text="" dxfId="0">
      <formula>$J5="x"</formula>
    </cfRule>
    <cfRule type="expression" priority="3" aboveAverage="0" equalAverage="0" bottom="0" percent="0" rank="0" text="" dxfId="1">
      <formula>$I5="x"</formula>
    </cfRule>
  </conditionalFormatting>
  <dataValidations count="1">
    <dataValidation allowBlank="true" errorStyle="stop" operator="between" showDropDown="false" showErrorMessage="false" showInputMessage="false" sqref="I5:J124" type="list">
      <formula1>"x"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0000"/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0" min="2" style="0" width="8"/>
  </cols>
  <sheetData>
    <row r="1" customFormat="false" ht="18.55" hidden="false" customHeight="false" outlineLevel="0" collapsed="false">
      <c r="A1" s="34" t="s">
        <v>370</v>
      </c>
      <c r="B1" s="34"/>
      <c r="C1" s="34"/>
      <c r="D1" s="34"/>
      <c r="E1" s="34"/>
      <c r="F1" s="34"/>
      <c r="G1" s="34"/>
      <c r="H1" s="34"/>
      <c r="I1" s="34"/>
      <c r="J1" s="34"/>
    </row>
    <row r="2" customFormat="false" ht="27.75" hidden="false" customHeight="true" outlineLevel="0" collapsed="false">
      <c r="A2" s="12" t="s">
        <v>371</v>
      </c>
      <c r="B2" s="12"/>
      <c r="C2" s="12"/>
      <c r="D2" s="12"/>
      <c r="E2" s="12"/>
      <c r="F2" s="12"/>
      <c r="G2" s="12"/>
      <c r="H2" s="12"/>
      <c r="I2" s="12"/>
      <c r="J2" s="12"/>
    </row>
    <row r="4" customFormat="false" ht="15" hidden="false" customHeight="false" outlineLevel="0" collapsed="false">
      <c r="B4" s="35" t="s">
        <v>204</v>
      </c>
      <c r="C4" s="35" t="s">
        <v>100</v>
      </c>
      <c r="D4" s="35" t="s">
        <v>107</v>
      </c>
      <c r="E4" s="35" t="s">
        <v>223</v>
      </c>
    </row>
    <row r="5" customFormat="false" ht="15" hidden="false" customHeight="false" outlineLevel="0" collapsed="false">
      <c r="A5" s="15" t="s">
        <v>372</v>
      </c>
      <c r="B5" s="36" t="n">
        <f aca="false">COUNTIFS('Big Board'!$D$5:$D$124,B$4,'Big Board'!$J$5:$J$124,"x")</f>
        <v>0</v>
      </c>
      <c r="C5" s="36" t="n">
        <f aca="false">COUNTIFS('Big Board'!$D$5:$D$124,C$4,'Big Board'!$J$5:$J$124,"x")</f>
        <v>0</v>
      </c>
      <c r="D5" s="36" t="n">
        <f aca="false">COUNTIFS('Big Board'!$D$5:$D$124,D$4,'Big Board'!$J$5:$J$124,"x")</f>
        <v>0</v>
      </c>
      <c r="E5" s="36" t="n">
        <f aca="false">COUNTIFS('Big Board'!$D$5:$D$124,E$4,'Big Board'!$J$5:$J$124,"x")</f>
        <v>0</v>
      </c>
    </row>
    <row r="6" customFormat="false" ht="15" hidden="false" customHeight="false" outlineLevel="0" collapsed="false">
      <c r="A6" s="15" t="s">
        <v>373</v>
      </c>
      <c r="B6" s="36" t="n">
        <f aca="false">MAX(0,1-B5)</f>
        <v>1</v>
      </c>
      <c r="C6" s="36" t="n">
        <f aca="false">MAX(0,2-C5)</f>
        <v>2</v>
      </c>
      <c r="D6" s="36" t="n">
        <f aca="false">MAX(0,2-D5)</f>
        <v>2</v>
      </c>
      <c r="E6" s="36" t="n">
        <f aca="false">MAX(0,1-E5)</f>
        <v>1</v>
      </c>
      <c r="F6" s="37" t="s">
        <v>374</v>
      </c>
    </row>
    <row r="7" customFormat="false" ht="15" hidden="false" customHeight="false" outlineLevel="0" collapsed="false">
      <c r="A7" s="15" t="s">
        <v>375</v>
      </c>
      <c r="B7" s="36" t="n">
        <f aca="false">COUNTIFS('Big Board'!$D$5:$D$124,B$4,'Big Board'!$B$5:$B$124,"T5",'Big Board'!$I$5:$I$124,"&lt;&gt;x")+COUNTIFS('Big Board'!$D$5:$D$124,B$4,'Big Board'!$B$5:$B$124,"T6",'Big Board'!$I$5:$I$124,"&lt;&gt;x")</f>
        <v>3</v>
      </c>
      <c r="C7" s="36" t="n">
        <f aca="false">COUNTIFS('Big Board'!$D$5:$D$124,C$4,'Big Board'!$B$5:$B$124,"T1",'Big Board'!$I$5:$I$124,"&lt;&gt;x")+COUNTIFS('Big Board'!$D$5:$D$124,C$4,'Big Board'!$B$5:$B$124,"T2",'Big Board'!$I$5:$I$124,"&lt;&gt;x")</f>
        <v>7</v>
      </c>
      <c r="D7" s="36" t="n">
        <f aca="false">COUNTIFS('Big Board'!$D$5:$D$124,D$4,'Big Board'!$B$5:$B$124,"T1",'Big Board'!$I$5:$I$124,"&lt;&gt;x")+COUNTIFS('Big Board'!$D$5:$D$124,D$4,'Big Board'!$B$5:$B$124,"T2",'Big Board'!$I$5:$I$124,"&lt;&gt;x")</f>
        <v>6</v>
      </c>
      <c r="E7" s="36" t="n">
        <f aca="false">COUNTIFS('Big Board'!$D$5:$D$124,E$4,'Big Board'!$B$5:$B$124,"T5",'Big Board'!$I$5:$I$124,"&lt;&gt;x")+COUNTIFS('Big Board'!$D$5:$D$124,E$4,'Big Board'!$B$5:$B$124,"T6",'Big Board'!$I$5:$I$124,"&lt;&gt;x")</f>
        <v>2</v>
      </c>
    </row>
    <row r="8" customFormat="false" ht="15" hidden="false" customHeight="false" outlineLevel="0" collapsed="false">
      <c r="A8" s="15" t="s">
        <v>376</v>
      </c>
      <c r="B8" s="36" t="n">
        <f aca="false">COUNTIFS('Big Board'!$D$5:$D$124,B$4,'Big Board'!$B$5:$B$124,"T7",'Big Board'!$I$5:$I$124,"&lt;&gt;x")+COUNTIFS('Big Board'!$D$5:$D$124,B$4,'Big Board'!$B$5:$B$124,"T8",'Big Board'!$I$5:$I$124,"&lt;&gt;x")</f>
        <v>4</v>
      </c>
      <c r="C8" s="36" t="n">
        <f aca="false">COUNTIFS('Big Board'!$D$5:$D$124,C$4,'Big Board'!$B$5:$B$124,"T3",'Big Board'!$I$5:$I$124,"&lt;&gt;x")+COUNTIFS('Big Board'!$D$5:$D$124,C$4,'Big Board'!$B$5:$B$124,"T4",'Big Board'!$I$5:$I$124,"&lt;&gt;x")</f>
        <v>8</v>
      </c>
      <c r="D8" s="36" t="n">
        <f aca="false">COUNTIFS('Big Board'!$D$5:$D$124,D$4,'Big Board'!$B$5:$B$124,"T3",'Big Board'!$I$5:$I$124,"&lt;&gt;x")+COUNTIFS('Big Board'!$D$5:$D$124,D$4,'Big Board'!$B$5:$B$124,"T4",'Big Board'!$I$5:$I$124,"&lt;&gt;x")</f>
        <v>11</v>
      </c>
      <c r="E8" s="36" t="n">
        <f aca="false">COUNTIFS('Big Board'!$D$5:$D$124,E$4,'Big Board'!$B$5:$B$124,"T8",'Big Board'!$I$5:$I$124,"&lt;&gt;x")+COUNTIFS('Big Board'!$D$5:$D$124,E$4,'Big Board'!$B$5:$B$124,"T9",'Big Board'!$I$5:$I$124,"&lt;&gt;x")</f>
        <v>4</v>
      </c>
    </row>
    <row r="10" customFormat="false" ht="15" hidden="false" customHeight="false" outlineLevel="0" collapsed="false">
      <c r="A10" s="38" t="s">
        <v>377</v>
      </c>
      <c r="B10" s="39" t="n">
        <v>5</v>
      </c>
      <c r="C10" s="39" t="n">
        <v>6</v>
      </c>
      <c r="D10" s="39" t="n">
        <v>7</v>
      </c>
      <c r="E10" s="39" t="n">
        <v>8</v>
      </c>
      <c r="F10" s="39" t="n">
        <v>9</v>
      </c>
      <c r="G10" s="39" t="n">
        <v>10</v>
      </c>
      <c r="H10" s="39" t="n">
        <v>11</v>
      </c>
      <c r="I10" s="39" t="n">
        <v>13</v>
      </c>
      <c r="J10" s="39" t="n">
        <v>14</v>
      </c>
    </row>
    <row r="11" customFormat="false" ht="15" hidden="false" customHeight="false" outlineLevel="0" collapsed="false">
      <c r="A11" s="38" t="s">
        <v>378</v>
      </c>
      <c r="B11" s="36" t="n">
        <f aca="false">COUNTIFS('Big Board'!$F$5:$F$124,B$10,'Big Board'!$J$5:$J$124,"x")</f>
        <v>0</v>
      </c>
      <c r="C11" s="36" t="n">
        <f aca="false">COUNTIFS('Big Board'!$F$5:$F$124,C$10,'Big Board'!$J$5:$J$124,"x")</f>
        <v>0</v>
      </c>
      <c r="D11" s="36" t="n">
        <f aca="false">COUNTIFS('Big Board'!$F$5:$F$124,D$10,'Big Board'!$J$5:$J$124,"x")</f>
        <v>0</v>
      </c>
      <c r="E11" s="36" t="n">
        <f aca="false">COUNTIFS('Big Board'!$F$5:$F$124,E$10,'Big Board'!$J$5:$J$124,"x")</f>
        <v>0</v>
      </c>
      <c r="F11" s="36" t="n">
        <f aca="false">COUNTIFS('Big Board'!$F$5:$F$124,F$10,'Big Board'!$J$5:$J$124,"x")</f>
        <v>0</v>
      </c>
      <c r="G11" s="36" t="n">
        <f aca="false">COUNTIFS('Big Board'!$F$5:$F$124,G$10,'Big Board'!$J$5:$J$124,"x")</f>
        <v>0</v>
      </c>
      <c r="H11" s="36" t="n">
        <f aca="false">COUNTIFS('Big Board'!$F$5:$F$124,H$10,'Big Board'!$J$5:$J$124,"x")</f>
        <v>0</v>
      </c>
      <c r="I11" s="36" t="n">
        <f aca="false">COUNTIFS('Big Board'!$F$5:$F$124,I$10,'Big Board'!$J$5:$J$124,"x")</f>
        <v>0</v>
      </c>
      <c r="J11" s="36" t="n">
        <f aca="false">COUNTIFS('Big Board'!$F$5:$F$124,J$10,'Big Board'!$J$5:$J$124,"x")</f>
        <v>0</v>
      </c>
    </row>
    <row r="13" customFormat="false" ht="15" hidden="false" customHeight="false" outlineLevel="0" collapsed="false">
      <c r="A13" s="40" t="s">
        <v>379</v>
      </c>
    </row>
    <row r="14" customFormat="false" ht="15" hidden="false" customHeight="false" outlineLevel="0" collapsed="false">
      <c r="A14" s="41" t="s">
        <v>380</v>
      </c>
      <c r="B14" s="42" t="n">
        <v>12</v>
      </c>
    </row>
    <row r="15" customFormat="false" ht="15" hidden="false" customHeight="false" outlineLevel="0" collapsed="false">
      <c r="A15" s="41" t="s">
        <v>381</v>
      </c>
      <c r="B15" s="42" t="n">
        <v>3</v>
      </c>
    </row>
    <row r="16" customFormat="false" ht="15" hidden="false" customHeight="false" outlineLevel="0" collapsed="false">
      <c r="A16" s="43" t="s">
        <v>382</v>
      </c>
      <c r="B16" s="43"/>
      <c r="C16" s="43"/>
      <c r="D16" s="43"/>
      <c r="E16" s="43"/>
    </row>
    <row r="17" customFormat="false" ht="23.85" hidden="false" customHeight="false" outlineLevel="0" collapsed="false">
      <c r="A17" s="35" t="s">
        <v>383</v>
      </c>
      <c r="B17" s="35" t="s">
        <v>384</v>
      </c>
    </row>
    <row r="18" customFormat="false" ht="15" hidden="false" customHeight="false" outlineLevel="0" collapsed="false">
      <c r="A18" s="36" t="n">
        <v>1</v>
      </c>
      <c r="B18" s="44" t="n">
        <f aca="false">IF(MOD(A18,2)=1,$B$14*(A18-1)+$B$15,$B$14*A18-$B$15+1)</f>
        <v>3</v>
      </c>
    </row>
    <row r="19" customFormat="false" ht="15" hidden="false" customHeight="false" outlineLevel="0" collapsed="false">
      <c r="A19" s="36" t="n">
        <v>2</v>
      </c>
      <c r="B19" s="44" t="n">
        <f aca="false">IF(MOD(A19,2)=1,$B$14*(A19-1)+$B$15,$B$14*A19-$B$15+1)</f>
        <v>22</v>
      </c>
    </row>
    <row r="20" customFormat="false" ht="15" hidden="false" customHeight="false" outlineLevel="0" collapsed="false">
      <c r="A20" s="36" t="n">
        <v>3</v>
      </c>
      <c r="B20" s="44" t="n">
        <f aca="false">IF(MOD(A20,2)=1,$B$14*(A20-1)+$B$15,$B$14*A20-$B$15+1)</f>
        <v>27</v>
      </c>
    </row>
    <row r="21" customFormat="false" ht="15" hidden="false" customHeight="false" outlineLevel="0" collapsed="false">
      <c r="A21" s="36" t="n">
        <v>4</v>
      </c>
      <c r="B21" s="44" t="n">
        <f aca="false">IF(MOD(A21,2)=1,$B$14*(A21-1)+$B$15,$B$14*A21-$B$15+1)</f>
        <v>46</v>
      </c>
    </row>
    <row r="22" customFormat="false" ht="15" hidden="false" customHeight="false" outlineLevel="0" collapsed="false">
      <c r="A22" s="36" t="n">
        <v>5</v>
      </c>
      <c r="B22" s="44" t="n">
        <f aca="false">IF(MOD(A22,2)=1,$B$14*(A22-1)+$B$15,$B$14*A22-$B$15+1)</f>
        <v>51</v>
      </c>
    </row>
    <row r="23" customFormat="false" ht="15" hidden="false" customHeight="false" outlineLevel="0" collapsed="false">
      <c r="A23" s="36" t="n">
        <v>6</v>
      </c>
      <c r="B23" s="44" t="n">
        <f aca="false">IF(MOD(A23,2)=1,$B$14*(A23-1)+$B$15,$B$14*A23-$B$15+1)</f>
        <v>70</v>
      </c>
    </row>
    <row r="24" customFormat="false" ht="15" hidden="false" customHeight="false" outlineLevel="0" collapsed="false">
      <c r="A24" s="36" t="n">
        <v>7</v>
      </c>
      <c r="B24" s="44" t="n">
        <f aca="false">IF(MOD(A24,2)=1,$B$14*(A24-1)+$B$15,$B$14*A24-$B$15+1)</f>
        <v>75</v>
      </c>
    </row>
    <row r="25" customFormat="false" ht="15" hidden="false" customHeight="false" outlineLevel="0" collapsed="false">
      <c r="A25" s="36" t="n">
        <v>8</v>
      </c>
      <c r="B25" s="44" t="n">
        <f aca="false">IF(MOD(A25,2)=1,$B$14*(A25-1)+$B$15,$B$14*A25-$B$15+1)</f>
        <v>94</v>
      </c>
    </row>
    <row r="26" customFormat="false" ht="15" hidden="false" customHeight="false" outlineLevel="0" collapsed="false">
      <c r="A26" s="36" t="n">
        <v>9</v>
      </c>
      <c r="B26" s="44" t="n">
        <f aca="false">IF(MOD(A26,2)=1,$B$14*(A26-1)+$B$15,$B$14*A26-$B$15+1)</f>
        <v>99</v>
      </c>
    </row>
    <row r="27" customFormat="false" ht="15" hidden="false" customHeight="false" outlineLevel="0" collapsed="false">
      <c r="A27" s="36" t="n">
        <v>10</v>
      </c>
      <c r="B27" s="44" t="n">
        <f aca="false">IF(MOD(A27,2)=1,$B$14*(A27-1)+$B$15,$B$14*A27-$B$15+1)</f>
        <v>118</v>
      </c>
    </row>
    <row r="28" customFormat="false" ht="15" hidden="false" customHeight="false" outlineLevel="0" collapsed="false">
      <c r="A28" s="36" t="n">
        <v>11</v>
      </c>
      <c r="B28" s="44" t="n">
        <f aca="false">IF(MOD(A28,2)=1,$B$14*(A28-1)+$B$15,$B$14*A28-$B$15+1)</f>
        <v>123</v>
      </c>
    </row>
    <row r="29" customFormat="false" ht="15" hidden="false" customHeight="false" outlineLevel="0" collapsed="false">
      <c r="A29" s="36" t="n">
        <v>12</v>
      </c>
      <c r="B29" s="44" t="n">
        <f aca="false">IF(MOD(A29,2)=1,$B$14*(A29-1)+$B$15,$B$14*A29-$B$15+1)</f>
        <v>142</v>
      </c>
    </row>
  </sheetData>
  <mergeCells count="3">
    <mergeCell ref="A1:J1"/>
    <mergeCell ref="A2:J2"/>
    <mergeCell ref="A16:E16"/>
  </mergeCells>
  <conditionalFormatting sqref="B11:J11">
    <cfRule type="cellIs" priority="2" operator="greaterThanOrEqual" aboveAverage="0" equalAverage="0" bottom="0" percent="0" rank="0" text="" dxfId="2">
      <formula>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7333"/>
    <pageSetUpPr fitToPage="false"/>
  </sheetPr>
  <dimension ref="A1:U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1"/>
    <col collapsed="false" customWidth="true" hidden="false" outlineLevel="0" max="3" min="3" style="0" width="5"/>
    <col collapsed="false" customWidth="true" hidden="false" outlineLevel="0" max="4" min="4" style="0" width="7"/>
    <col collapsed="false" customWidth="true" hidden="false" outlineLevel="0" max="6" min="6" style="0" width="5"/>
    <col collapsed="false" customWidth="true" hidden="false" outlineLevel="0" max="7" min="7" style="0" width="21"/>
    <col collapsed="false" customWidth="true" hidden="false" outlineLevel="0" max="8" min="8" style="0" width="5"/>
    <col collapsed="false" customWidth="true" hidden="false" outlineLevel="0" max="9" min="9" style="0" width="7"/>
    <col collapsed="false" customWidth="true" hidden="false" outlineLevel="0" max="11" min="11" style="0" width="5"/>
    <col collapsed="false" customWidth="true" hidden="false" outlineLevel="0" max="12" min="12" style="0" width="21"/>
    <col collapsed="false" customWidth="true" hidden="false" outlineLevel="0" max="13" min="13" style="0" width="5"/>
    <col collapsed="false" customWidth="true" hidden="false" outlineLevel="0" max="14" min="14" style="0" width="7"/>
    <col collapsed="false" customWidth="true" hidden="false" outlineLevel="0" max="16" min="16" style="0" width="5"/>
    <col collapsed="false" customWidth="true" hidden="false" outlineLevel="0" max="17" min="17" style="0" width="21"/>
    <col collapsed="false" customWidth="true" hidden="false" outlineLevel="0" max="18" min="18" style="0" width="5"/>
    <col collapsed="false" customWidth="true" hidden="false" outlineLevel="0" max="19" min="19" style="0" width="7"/>
  </cols>
  <sheetData>
    <row r="1" customFormat="false" ht="15" hidden="false" customHeight="true" outlineLevel="0" collapsed="false">
      <c r="A1" s="45" t="s">
        <v>385</v>
      </c>
      <c r="B1" s="45"/>
      <c r="C1" s="45"/>
      <c r="D1" s="45"/>
      <c r="F1" s="46" t="s">
        <v>386</v>
      </c>
      <c r="G1" s="46"/>
      <c r="H1" s="46"/>
      <c r="I1" s="46"/>
      <c r="K1" s="47" t="s">
        <v>387</v>
      </c>
      <c r="L1" s="47"/>
      <c r="M1" s="47"/>
      <c r="N1" s="47"/>
      <c r="P1" s="48" t="s">
        <v>388</v>
      </c>
      <c r="Q1" s="48"/>
      <c r="R1" s="48"/>
      <c r="S1" s="48"/>
      <c r="U1" s="37" t="s">
        <v>389</v>
      </c>
    </row>
    <row r="2" customFormat="false" ht="15" hidden="false" customHeight="false" outlineLevel="0" collapsed="false">
      <c r="A2" s="49" t="s">
        <v>89</v>
      </c>
      <c r="B2" s="49" t="s">
        <v>90</v>
      </c>
      <c r="C2" s="49" t="s">
        <v>390</v>
      </c>
      <c r="D2" s="49" t="s">
        <v>94</v>
      </c>
      <c r="F2" s="49" t="s">
        <v>89</v>
      </c>
      <c r="G2" s="49" t="s">
        <v>90</v>
      </c>
      <c r="H2" s="49" t="s">
        <v>390</v>
      </c>
      <c r="I2" s="49" t="s">
        <v>94</v>
      </c>
      <c r="K2" s="49" t="s">
        <v>89</v>
      </c>
      <c r="L2" s="49" t="s">
        <v>90</v>
      </c>
      <c r="M2" s="49" t="s">
        <v>390</v>
      </c>
      <c r="N2" s="49" t="s">
        <v>94</v>
      </c>
      <c r="P2" s="49" t="s">
        <v>89</v>
      </c>
      <c r="Q2" s="49" t="s">
        <v>90</v>
      </c>
      <c r="R2" s="49" t="s">
        <v>390</v>
      </c>
      <c r="S2" s="49" t="s">
        <v>94</v>
      </c>
    </row>
    <row r="3" customFormat="false" ht="15" hidden="false" customHeight="false" outlineLevel="0" collapsed="false">
      <c r="A3" s="50" t="s">
        <v>98</v>
      </c>
      <c r="B3" s="51" t="s">
        <v>99</v>
      </c>
      <c r="C3" s="52" t="s">
        <v>101</v>
      </c>
      <c r="D3" s="7" t="s">
        <v>102</v>
      </c>
      <c r="F3" s="50" t="s">
        <v>98</v>
      </c>
      <c r="G3" s="51" t="s">
        <v>106</v>
      </c>
      <c r="H3" s="52" t="s">
        <v>108</v>
      </c>
      <c r="I3" s="7" t="s">
        <v>109</v>
      </c>
      <c r="K3" s="53" t="s">
        <v>202</v>
      </c>
      <c r="L3" s="51" t="s">
        <v>203</v>
      </c>
      <c r="M3" s="52" t="s">
        <v>129</v>
      </c>
      <c r="N3" s="7" t="s">
        <v>205</v>
      </c>
      <c r="P3" s="53" t="s">
        <v>202</v>
      </c>
      <c r="Q3" s="51" t="s">
        <v>222</v>
      </c>
      <c r="R3" s="52" t="s">
        <v>190</v>
      </c>
      <c r="S3" s="7" t="s">
        <v>224</v>
      </c>
    </row>
    <row r="4" customFormat="false" ht="15" hidden="false" customHeight="false" outlineLevel="0" collapsed="false">
      <c r="A4" s="50" t="s">
        <v>98</v>
      </c>
      <c r="B4" s="51" t="s">
        <v>103</v>
      </c>
      <c r="C4" s="52" t="s">
        <v>104</v>
      </c>
      <c r="D4" s="7" t="s">
        <v>105</v>
      </c>
      <c r="F4" s="50" t="s">
        <v>98</v>
      </c>
      <c r="G4" s="51" t="s">
        <v>111</v>
      </c>
      <c r="H4" s="52" t="s">
        <v>112</v>
      </c>
      <c r="I4" s="7" t="s">
        <v>113</v>
      </c>
      <c r="K4" s="54" t="s">
        <v>237</v>
      </c>
      <c r="L4" s="51" t="s">
        <v>258</v>
      </c>
      <c r="M4" s="52" t="s">
        <v>165</v>
      </c>
      <c r="N4" s="7" t="s">
        <v>259</v>
      </c>
      <c r="P4" s="54" t="s">
        <v>237</v>
      </c>
      <c r="Q4" s="51" t="s">
        <v>241</v>
      </c>
      <c r="R4" s="52" t="s">
        <v>159</v>
      </c>
      <c r="S4" s="7" t="s">
        <v>242</v>
      </c>
    </row>
    <row r="5" customFormat="false" ht="15" hidden="false" customHeight="false" outlineLevel="0" collapsed="false">
      <c r="A5" s="55" t="s">
        <v>118</v>
      </c>
      <c r="B5" s="51" t="s">
        <v>119</v>
      </c>
      <c r="C5" s="52" t="s">
        <v>120</v>
      </c>
      <c r="D5" s="7" t="s">
        <v>121</v>
      </c>
      <c r="F5" s="50" t="s">
        <v>98</v>
      </c>
      <c r="G5" s="51" t="s">
        <v>391</v>
      </c>
      <c r="H5" s="52" t="s">
        <v>116</v>
      </c>
      <c r="I5" s="7" t="s">
        <v>117</v>
      </c>
      <c r="K5" s="54" t="s">
        <v>237</v>
      </c>
      <c r="L5" s="51" t="s">
        <v>270</v>
      </c>
      <c r="M5" s="52" t="s">
        <v>132</v>
      </c>
      <c r="N5" s="7" t="s">
        <v>271</v>
      </c>
      <c r="P5" s="56" t="s">
        <v>302</v>
      </c>
      <c r="Q5" s="51" t="s">
        <v>311</v>
      </c>
      <c r="R5" s="52" t="s">
        <v>123</v>
      </c>
      <c r="S5" s="7" t="s">
        <v>392</v>
      </c>
    </row>
    <row r="6" customFormat="false" ht="15" hidden="false" customHeight="false" outlineLevel="0" collapsed="false">
      <c r="A6" s="55" t="s">
        <v>118</v>
      </c>
      <c r="B6" s="51" t="s">
        <v>393</v>
      </c>
      <c r="C6" s="52" t="s">
        <v>123</v>
      </c>
      <c r="D6" s="7" t="s">
        <v>124</v>
      </c>
      <c r="F6" s="55" t="s">
        <v>118</v>
      </c>
      <c r="G6" s="51" t="s">
        <v>126</v>
      </c>
      <c r="H6" s="52" t="s">
        <v>101</v>
      </c>
      <c r="I6" s="7" t="s">
        <v>127</v>
      </c>
      <c r="K6" s="57" t="s">
        <v>275</v>
      </c>
      <c r="L6" s="51" t="s">
        <v>278</v>
      </c>
      <c r="M6" s="52" t="s">
        <v>112</v>
      </c>
      <c r="N6" s="7" t="s">
        <v>279</v>
      </c>
      <c r="P6" s="58" t="s">
        <v>326</v>
      </c>
      <c r="Q6" s="51" t="s">
        <v>328</v>
      </c>
      <c r="R6" s="52" t="s">
        <v>239</v>
      </c>
      <c r="S6" s="7" t="s">
        <v>392</v>
      </c>
    </row>
    <row r="7" customFormat="false" ht="15" hidden="false" customHeight="false" outlineLevel="0" collapsed="false">
      <c r="A7" s="55" t="s">
        <v>118</v>
      </c>
      <c r="B7" s="51" t="s">
        <v>128</v>
      </c>
      <c r="C7" s="52" t="s">
        <v>129</v>
      </c>
      <c r="D7" s="7" t="s">
        <v>130</v>
      </c>
      <c r="F7" s="55" t="s">
        <v>118</v>
      </c>
      <c r="G7" s="51" t="s">
        <v>138</v>
      </c>
      <c r="H7" s="52" t="s">
        <v>104</v>
      </c>
      <c r="I7" s="7" t="s">
        <v>139</v>
      </c>
      <c r="K7" s="56" t="s">
        <v>302</v>
      </c>
      <c r="L7" s="51" t="s">
        <v>317</v>
      </c>
      <c r="M7" s="52" t="s">
        <v>141</v>
      </c>
      <c r="N7" s="7" t="s">
        <v>392</v>
      </c>
      <c r="P7" s="58" t="s">
        <v>326</v>
      </c>
      <c r="Q7" s="51" t="s">
        <v>341</v>
      </c>
      <c r="R7" s="52" t="s">
        <v>120</v>
      </c>
      <c r="S7" s="7" t="s">
        <v>392</v>
      </c>
    </row>
    <row r="8" customFormat="false" ht="15" hidden="false" customHeight="false" outlineLevel="0" collapsed="false">
      <c r="A8" s="55" t="s">
        <v>118</v>
      </c>
      <c r="B8" s="51" t="s">
        <v>131</v>
      </c>
      <c r="C8" s="52" t="s">
        <v>132</v>
      </c>
      <c r="D8" s="7" t="s">
        <v>133</v>
      </c>
      <c r="F8" s="55" t="s">
        <v>118</v>
      </c>
      <c r="G8" s="51" t="s">
        <v>140</v>
      </c>
      <c r="H8" s="52" t="s">
        <v>141</v>
      </c>
      <c r="I8" s="7" t="s">
        <v>142</v>
      </c>
      <c r="K8" s="56" t="s">
        <v>302</v>
      </c>
      <c r="L8" s="51" t="s">
        <v>323</v>
      </c>
      <c r="M8" s="52" t="s">
        <v>248</v>
      </c>
      <c r="N8" s="7" t="s">
        <v>392</v>
      </c>
      <c r="P8" s="58" t="s">
        <v>326</v>
      </c>
      <c r="Q8" s="51" t="s">
        <v>350</v>
      </c>
      <c r="R8" s="52" t="s">
        <v>262</v>
      </c>
      <c r="S8" s="7" t="s">
        <v>392</v>
      </c>
    </row>
    <row r="9" customFormat="false" ht="15" hidden="false" customHeight="false" outlineLevel="0" collapsed="false">
      <c r="A9" s="55" t="s">
        <v>118</v>
      </c>
      <c r="B9" s="51" t="s">
        <v>135</v>
      </c>
      <c r="C9" s="52" t="s">
        <v>136</v>
      </c>
      <c r="D9" s="7" t="s">
        <v>137</v>
      </c>
      <c r="F9" s="59" t="s">
        <v>143</v>
      </c>
      <c r="G9" s="51" t="s">
        <v>144</v>
      </c>
      <c r="H9" s="52" t="s">
        <v>145</v>
      </c>
      <c r="I9" s="7" t="s">
        <v>146</v>
      </c>
      <c r="K9" s="56" t="s">
        <v>302</v>
      </c>
      <c r="L9" s="51" t="s">
        <v>325</v>
      </c>
      <c r="M9" s="52" t="s">
        <v>108</v>
      </c>
      <c r="N9" s="7" t="s">
        <v>392</v>
      </c>
      <c r="P9" s="60" t="s">
        <v>353</v>
      </c>
      <c r="Q9" s="51" t="s">
        <v>355</v>
      </c>
      <c r="R9" s="52" t="s">
        <v>104</v>
      </c>
      <c r="S9" s="7" t="s">
        <v>392</v>
      </c>
    </row>
    <row r="10" customFormat="false" ht="15" hidden="false" customHeight="false" outlineLevel="0" collapsed="false">
      <c r="A10" s="59" t="s">
        <v>143</v>
      </c>
      <c r="B10" s="51" t="s">
        <v>147</v>
      </c>
      <c r="C10" s="52" t="s">
        <v>112</v>
      </c>
      <c r="D10" s="7" t="s">
        <v>148</v>
      </c>
      <c r="F10" s="59" t="s">
        <v>143</v>
      </c>
      <c r="G10" s="51" t="s">
        <v>149</v>
      </c>
      <c r="H10" s="52" t="s">
        <v>150</v>
      </c>
      <c r="I10" s="7" t="s">
        <v>151</v>
      </c>
      <c r="K10" s="58" t="s">
        <v>326</v>
      </c>
      <c r="L10" s="51" t="s">
        <v>329</v>
      </c>
      <c r="M10" s="52" t="s">
        <v>153</v>
      </c>
      <c r="N10" s="7" t="s">
        <v>392</v>
      </c>
      <c r="P10" s="60" t="s">
        <v>353</v>
      </c>
      <c r="Q10" s="51" t="s">
        <v>360</v>
      </c>
      <c r="R10" s="52" t="s">
        <v>153</v>
      </c>
      <c r="S10" s="7" t="s">
        <v>392</v>
      </c>
    </row>
    <row r="11" customFormat="false" ht="15" hidden="false" customHeight="false" outlineLevel="0" collapsed="false">
      <c r="A11" s="59" t="s">
        <v>143</v>
      </c>
      <c r="B11" s="51" t="s">
        <v>152</v>
      </c>
      <c r="C11" s="52" t="s">
        <v>153</v>
      </c>
      <c r="D11" s="7" t="s">
        <v>154</v>
      </c>
      <c r="F11" s="59" t="s">
        <v>143</v>
      </c>
      <c r="G11" s="51" t="s">
        <v>155</v>
      </c>
      <c r="H11" s="52" t="s">
        <v>156</v>
      </c>
      <c r="I11" s="7" t="s">
        <v>157</v>
      </c>
      <c r="K11" s="58" t="s">
        <v>326</v>
      </c>
      <c r="L11" s="51" t="s">
        <v>331</v>
      </c>
      <c r="M11" s="52" t="s">
        <v>123</v>
      </c>
      <c r="N11" s="7" t="s">
        <v>392</v>
      </c>
    </row>
    <row r="12" customFormat="false" ht="15" hidden="false" customHeight="false" outlineLevel="0" collapsed="false">
      <c r="A12" s="59" t="s">
        <v>143</v>
      </c>
      <c r="B12" s="51" t="s">
        <v>158</v>
      </c>
      <c r="C12" s="52" t="s">
        <v>159</v>
      </c>
      <c r="D12" s="7" t="s">
        <v>160</v>
      </c>
      <c r="F12" s="59" t="s">
        <v>143</v>
      </c>
      <c r="G12" s="51" t="s">
        <v>162</v>
      </c>
      <c r="H12" s="52" t="s">
        <v>141</v>
      </c>
      <c r="I12" s="7" t="s">
        <v>163</v>
      </c>
      <c r="K12" s="58" t="s">
        <v>326</v>
      </c>
      <c r="L12" s="51" t="s">
        <v>338</v>
      </c>
      <c r="M12" s="52" t="s">
        <v>265</v>
      </c>
      <c r="N12" s="7" t="s">
        <v>392</v>
      </c>
    </row>
    <row r="13" customFormat="false" ht="15" hidden="false" customHeight="false" outlineLevel="0" collapsed="false">
      <c r="A13" s="59" t="s">
        <v>143</v>
      </c>
      <c r="B13" s="51" t="s">
        <v>168</v>
      </c>
      <c r="C13" s="52" t="s">
        <v>150</v>
      </c>
      <c r="D13" s="7" t="s">
        <v>169</v>
      </c>
      <c r="F13" s="59" t="s">
        <v>143</v>
      </c>
      <c r="G13" s="51" t="s">
        <v>164</v>
      </c>
      <c r="H13" s="52" t="s">
        <v>165</v>
      </c>
      <c r="I13" s="7" t="s">
        <v>166</v>
      </c>
      <c r="K13" s="58" t="s">
        <v>326</v>
      </c>
      <c r="L13" s="51" t="s">
        <v>339</v>
      </c>
      <c r="M13" s="52" t="s">
        <v>239</v>
      </c>
      <c r="N13" s="7" t="s">
        <v>392</v>
      </c>
    </row>
    <row r="14" customFormat="false" ht="15" hidden="false" customHeight="false" outlineLevel="0" collapsed="false">
      <c r="A14" s="61" t="s">
        <v>171</v>
      </c>
      <c r="B14" s="51" t="s">
        <v>175</v>
      </c>
      <c r="C14" s="52" t="s">
        <v>176</v>
      </c>
      <c r="D14" s="7" t="s">
        <v>177</v>
      </c>
      <c r="F14" s="61" t="s">
        <v>171</v>
      </c>
      <c r="G14" s="51" t="s">
        <v>172</v>
      </c>
      <c r="H14" s="52" t="s">
        <v>173</v>
      </c>
      <c r="I14" s="7" t="s">
        <v>174</v>
      </c>
      <c r="K14" s="58" t="s">
        <v>326</v>
      </c>
      <c r="L14" s="51" t="s">
        <v>340</v>
      </c>
      <c r="M14" s="52" t="s">
        <v>101</v>
      </c>
      <c r="N14" s="7" t="s">
        <v>392</v>
      </c>
    </row>
    <row r="15" customFormat="false" ht="15" hidden="false" customHeight="false" outlineLevel="0" collapsed="false">
      <c r="A15" s="61" t="s">
        <v>171</v>
      </c>
      <c r="B15" s="51" t="s">
        <v>180</v>
      </c>
      <c r="C15" s="52" t="s">
        <v>181</v>
      </c>
      <c r="D15" s="7" t="s">
        <v>182</v>
      </c>
      <c r="F15" s="61" t="s">
        <v>171</v>
      </c>
      <c r="G15" s="51" t="s">
        <v>178</v>
      </c>
      <c r="H15" s="52" t="s">
        <v>132</v>
      </c>
      <c r="I15" s="7" t="s">
        <v>179</v>
      </c>
      <c r="K15" s="58" t="s">
        <v>326</v>
      </c>
      <c r="L15" s="51" t="s">
        <v>343</v>
      </c>
      <c r="M15" s="52" t="s">
        <v>150</v>
      </c>
      <c r="N15" s="7" t="s">
        <v>392</v>
      </c>
    </row>
    <row r="16" customFormat="false" ht="15" hidden="false" customHeight="false" outlineLevel="0" collapsed="false">
      <c r="A16" s="61" t="s">
        <v>171</v>
      </c>
      <c r="B16" s="51" t="s">
        <v>187</v>
      </c>
      <c r="C16" s="52" t="s">
        <v>108</v>
      </c>
      <c r="D16" s="7" t="s">
        <v>188</v>
      </c>
      <c r="F16" s="61" t="s">
        <v>171</v>
      </c>
      <c r="G16" s="51" t="s">
        <v>183</v>
      </c>
      <c r="H16" s="52" t="s">
        <v>184</v>
      </c>
      <c r="I16" s="7" t="s">
        <v>185</v>
      </c>
      <c r="K16" s="60" t="s">
        <v>353</v>
      </c>
      <c r="L16" s="51" t="s">
        <v>354</v>
      </c>
      <c r="M16" s="52" t="s">
        <v>176</v>
      </c>
      <c r="N16" s="7" t="s">
        <v>392</v>
      </c>
    </row>
    <row r="17" customFormat="false" ht="15" hidden="false" customHeight="false" outlineLevel="0" collapsed="false">
      <c r="A17" s="61" t="s">
        <v>171</v>
      </c>
      <c r="B17" s="51" t="s">
        <v>189</v>
      </c>
      <c r="C17" s="52" t="s">
        <v>190</v>
      </c>
      <c r="D17" s="7" t="s">
        <v>191</v>
      </c>
      <c r="F17" s="61" t="s">
        <v>171</v>
      </c>
      <c r="G17" s="51" t="s">
        <v>193</v>
      </c>
      <c r="H17" s="52" t="s">
        <v>194</v>
      </c>
      <c r="I17" s="7" t="s">
        <v>195</v>
      </c>
      <c r="K17" s="60" t="s">
        <v>353</v>
      </c>
      <c r="L17" s="51" t="s">
        <v>356</v>
      </c>
      <c r="M17" s="52" t="s">
        <v>253</v>
      </c>
      <c r="N17" s="7" t="s">
        <v>392</v>
      </c>
    </row>
    <row r="18" customFormat="false" ht="15" hidden="false" customHeight="false" outlineLevel="0" collapsed="false">
      <c r="A18" s="53" t="s">
        <v>202</v>
      </c>
      <c r="B18" s="51" t="s">
        <v>207</v>
      </c>
      <c r="C18" s="52" t="s">
        <v>141</v>
      </c>
      <c r="D18" s="7" t="s">
        <v>208</v>
      </c>
      <c r="F18" s="61" t="s">
        <v>171</v>
      </c>
      <c r="G18" s="51" t="s">
        <v>196</v>
      </c>
      <c r="H18" s="52" t="s">
        <v>197</v>
      </c>
      <c r="I18" s="7" t="s">
        <v>198</v>
      </c>
      <c r="K18" s="60" t="s">
        <v>353</v>
      </c>
      <c r="L18" s="51" t="s">
        <v>357</v>
      </c>
      <c r="M18" s="52" t="s">
        <v>184</v>
      </c>
      <c r="N18" s="7" t="s">
        <v>392</v>
      </c>
    </row>
    <row r="19" customFormat="false" ht="15" hidden="false" customHeight="false" outlineLevel="0" collapsed="false">
      <c r="A19" s="53" t="s">
        <v>202</v>
      </c>
      <c r="B19" s="51" t="s">
        <v>210</v>
      </c>
      <c r="C19" s="52" t="s">
        <v>197</v>
      </c>
      <c r="D19" s="7" t="s">
        <v>211</v>
      </c>
      <c r="F19" s="61" t="s">
        <v>171</v>
      </c>
      <c r="G19" s="51" t="s">
        <v>199</v>
      </c>
      <c r="H19" s="52" t="s">
        <v>153</v>
      </c>
      <c r="I19" s="7" t="s">
        <v>200</v>
      </c>
    </row>
    <row r="20" customFormat="false" ht="15" hidden="false" customHeight="true" outlineLevel="0" collapsed="false">
      <c r="A20" s="53" t="s">
        <v>202</v>
      </c>
      <c r="B20" s="51" t="s">
        <v>219</v>
      </c>
      <c r="C20" s="52" t="s">
        <v>173</v>
      </c>
      <c r="D20" s="7" t="s">
        <v>220</v>
      </c>
      <c r="F20" s="53" t="s">
        <v>202</v>
      </c>
      <c r="G20" s="51" t="s">
        <v>213</v>
      </c>
      <c r="H20" s="52" t="s">
        <v>214</v>
      </c>
      <c r="I20" s="7" t="s">
        <v>215</v>
      </c>
      <c r="K20" s="62" t="s">
        <v>394</v>
      </c>
      <c r="L20" s="62"/>
      <c r="M20" s="62"/>
      <c r="N20" s="62"/>
    </row>
    <row r="21" customFormat="false" ht="15" hidden="false" customHeight="false" outlineLevel="0" collapsed="false">
      <c r="A21" s="53" t="s">
        <v>202</v>
      </c>
      <c r="B21" s="51" t="s">
        <v>229</v>
      </c>
      <c r="C21" s="52" t="s">
        <v>184</v>
      </c>
      <c r="D21" s="7" t="s">
        <v>230</v>
      </c>
      <c r="F21" s="53" t="s">
        <v>202</v>
      </c>
      <c r="G21" s="51" t="s">
        <v>217</v>
      </c>
      <c r="H21" s="52" t="s">
        <v>112</v>
      </c>
      <c r="I21" s="7" t="s">
        <v>218</v>
      </c>
      <c r="K21" s="62"/>
      <c r="L21" s="62"/>
      <c r="M21" s="62"/>
      <c r="N21" s="62"/>
    </row>
    <row r="22" customFormat="false" ht="15" hidden="false" customHeight="false" outlineLevel="0" collapsed="false">
      <c r="A22" s="54" t="s">
        <v>237</v>
      </c>
      <c r="B22" s="51" t="s">
        <v>238</v>
      </c>
      <c r="C22" s="52" t="s">
        <v>239</v>
      </c>
      <c r="D22" s="7" t="s">
        <v>240</v>
      </c>
      <c r="F22" s="53" t="s">
        <v>202</v>
      </c>
      <c r="G22" s="51" t="s">
        <v>226</v>
      </c>
      <c r="H22" s="52" t="s">
        <v>108</v>
      </c>
      <c r="I22" s="7" t="s">
        <v>227</v>
      </c>
      <c r="K22" s="62"/>
      <c r="L22" s="62"/>
      <c r="M22" s="62"/>
      <c r="N22" s="62"/>
    </row>
    <row r="23" customFormat="false" ht="15" hidden="false" customHeight="false" outlineLevel="0" collapsed="false">
      <c r="A23" s="54" t="s">
        <v>237</v>
      </c>
      <c r="B23" s="51" t="s">
        <v>250</v>
      </c>
      <c r="C23" s="52" t="s">
        <v>214</v>
      </c>
      <c r="D23" s="7" t="s">
        <v>251</v>
      </c>
      <c r="F23" s="53" t="s">
        <v>202</v>
      </c>
      <c r="G23" s="51" t="s">
        <v>232</v>
      </c>
      <c r="H23" s="52" t="s">
        <v>101</v>
      </c>
      <c r="I23" s="7" t="s">
        <v>233</v>
      </c>
      <c r="K23" s="62"/>
      <c r="L23" s="62"/>
      <c r="M23" s="62"/>
      <c r="N23" s="62"/>
    </row>
    <row r="24" customFormat="false" ht="15" hidden="false" customHeight="false" outlineLevel="0" collapsed="false">
      <c r="A24" s="54" t="s">
        <v>237</v>
      </c>
      <c r="B24" s="51" t="s">
        <v>261</v>
      </c>
      <c r="C24" s="52" t="s">
        <v>262</v>
      </c>
      <c r="D24" s="7" t="s">
        <v>263</v>
      </c>
      <c r="F24" s="53" t="s">
        <v>202</v>
      </c>
      <c r="G24" s="51" t="s">
        <v>235</v>
      </c>
      <c r="H24" s="52" t="s">
        <v>176</v>
      </c>
      <c r="I24" s="7" t="s">
        <v>236</v>
      </c>
      <c r="K24" s="62"/>
      <c r="L24" s="62"/>
      <c r="M24" s="62"/>
      <c r="N24" s="62"/>
    </row>
    <row r="25" customFormat="false" ht="15" hidden="false" customHeight="false" outlineLevel="0" collapsed="false">
      <c r="A25" s="54" t="s">
        <v>237</v>
      </c>
      <c r="B25" s="51" t="s">
        <v>264</v>
      </c>
      <c r="C25" s="52" t="s">
        <v>265</v>
      </c>
      <c r="D25" s="7" t="s">
        <v>266</v>
      </c>
      <c r="F25" s="54" t="s">
        <v>237</v>
      </c>
      <c r="G25" s="51" t="s">
        <v>244</v>
      </c>
      <c r="H25" s="52" t="s">
        <v>129</v>
      </c>
      <c r="I25" s="7" t="s">
        <v>245</v>
      </c>
      <c r="K25" s="62"/>
      <c r="L25" s="62"/>
      <c r="M25" s="62"/>
      <c r="N25" s="62"/>
    </row>
    <row r="26" customFormat="false" ht="15" hidden="false" customHeight="false" outlineLevel="0" collapsed="false">
      <c r="A26" s="54" t="s">
        <v>237</v>
      </c>
      <c r="B26" s="51" t="s">
        <v>273</v>
      </c>
      <c r="C26" s="52" t="s">
        <v>156</v>
      </c>
      <c r="D26" s="7" t="s">
        <v>271</v>
      </c>
      <c r="F26" s="54" t="s">
        <v>237</v>
      </c>
      <c r="G26" s="51" t="s">
        <v>247</v>
      </c>
      <c r="H26" s="52" t="s">
        <v>248</v>
      </c>
      <c r="I26" s="7" t="s">
        <v>249</v>
      </c>
    </row>
    <row r="27" customFormat="false" ht="15" hidden="false" customHeight="false" outlineLevel="0" collapsed="false">
      <c r="A27" s="57" t="s">
        <v>275</v>
      </c>
      <c r="B27" s="51" t="s">
        <v>285</v>
      </c>
      <c r="C27" s="52" t="s">
        <v>136</v>
      </c>
      <c r="D27" s="7" t="s">
        <v>392</v>
      </c>
      <c r="F27" s="54" t="s">
        <v>237</v>
      </c>
      <c r="G27" s="51" t="s">
        <v>252</v>
      </c>
      <c r="H27" s="52" t="s">
        <v>253</v>
      </c>
      <c r="I27" s="7" t="s">
        <v>254</v>
      </c>
    </row>
    <row r="28" customFormat="false" ht="15" hidden="false" customHeight="false" outlineLevel="0" collapsed="false">
      <c r="A28" s="57" t="s">
        <v>275</v>
      </c>
      <c r="B28" s="51" t="s">
        <v>295</v>
      </c>
      <c r="C28" s="52" t="s">
        <v>290</v>
      </c>
      <c r="D28" s="7" t="s">
        <v>392</v>
      </c>
      <c r="F28" s="54" t="s">
        <v>237</v>
      </c>
      <c r="G28" s="51" t="s">
        <v>256</v>
      </c>
      <c r="H28" s="52" t="s">
        <v>239</v>
      </c>
      <c r="I28" s="7" t="s">
        <v>257</v>
      </c>
    </row>
    <row r="29" customFormat="false" ht="15" hidden="false" customHeight="false" outlineLevel="0" collapsed="false">
      <c r="A29" s="57" t="s">
        <v>275</v>
      </c>
      <c r="B29" s="51" t="s">
        <v>395</v>
      </c>
      <c r="C29" s="52" t="s">
        <v>165</v>
      </c>
      <c r="D29" s="7" t="s">
        <v>392</v>
      </c>
      <c r="F29" s="54" t="s">
        <v>237</v>
      </c>
      <c r="G29" s="51" t="s">
        <v>267</v>
      </c>
      <c r="H29" s="52" t="s">
        <v>123</v>
      </c>
      <c r="I29" s="7" t="s">
        <v>268</v>
      </c>
    </row>
    <row r="30" customFormat="false" ht="15" hidden="false" customHeight="false" outlineLevel="0" collapsed="false">
      <c r="A30" s="57" t="s">
        <v>275</v>
      </c>
      <c r="B30" s="51" t="s">
        <v>301</v>
      </c>
      <c r="C30" s="52" t="s">
        <v>165</v>
      </c>
      <c r="D30" s="7" t="s">
        <v>392</v>
      </c>
      <c r="F30" s="57" t="s">
        <v>275</v>
      </c>
      <c r="G30" s="51" t="s">
        <v>276</v>
      </c>
      <c r="H30" s="52" t="s">
        <v>181</v>
      </c>
      <c r="I30" s="7" t="s">
        <v>277</v>
      </c>
    </row>
    <row r="31" customFormat="false" ht="15" hidden="false" customHeight="false" outlineLevel="0" collapsed="false">
      <c r="A31" s="56" t="s">
        <v>302</v>
      </c>
      <c r="B31" s="51" t="s">
        <v>305</v>
      </c>
      <c r="C31" s="52" t="s">
        <v>297</v>
      </c>
      <c r="D31" s="7" t="s">
        <v>392</v>
      </c>
      <c r="F31" s="57" t="s">
        <v>275</v>
      </c>
      <c r="G31" s="51" t="s">
        <v>280</v>
      </c>
      <c r="H31" s="52" t="s">
        <v>239</v>
      </c>
      <c r="I31" s="7" t="s">
        <v>281</v>
      </c>
    </row>
    <row r="32" customFormat="false" ht="15" hidden="false" customHeight="false" outlineLevel="0" collapsed="false">
      <c r="A32" s="56" t="s">
        <v>302</v>
      </c>
      <c r="B32" s="51" t="s">
        <v>316</v>
      </c>
      <c r="C32" s="52" t="s">
        <v>290</v>
      </c>
      <c r="D32" s="7" t="s">
        <v>392</v>
      </c>
      <c r="F32" s="57" t="s">
        <v>275</v>
      </c>
      <c r="G32" s="51" t="s">
        <v>283</v>
      </c>
      <c r="H32" s="52" t="s">
        <v>253</v>
      </c>
      <c r="I32" s="7" t="s">
        <v>284</v>
      </c>
    </row>
    <row r="33" customFormat="false" ht="15" hidden="false" customHeight="false" outlineLevel="0" collapsed="false">
      <c r="A33" s="56" t="s">
        <v>302</v>
      </c>
      <c r="B33" s="51" t="s">
        <v>322</v>
      </c>
      <c r="C33" s="52" t="s">
        <v>253</v>
      </c>
      <c r="D33" s="7" t="s">
        <v>392</v>
      </c>
      <c r="F33" s="57" t="s">
        <v>275</v>
      </c>
      <c r="G33" s="51" t="s">
        <v>289</v>
      </c>
      <c r="H33" s="52" t="s">
        <v>290</v>
      </c>
      <c r="I33" s="7" t="s">
        <v>392</v>
      </c>
    </row>
    <row r="34" customFormat="false" ht="15" hidden="false" customHeight="false" outlineLevel="0" collapsed="false">
      <c r="A34" s="58" t="s">
        <v>326</v>
      </c>
      <c r="B34" s="51" t="s">
        <v>332</v>
      </c>
      <c r="C34" s="52" t="s">
        <v>194</v>
      </c>
      <c r="D34" s="7" t="s">
        <v>392</v>
      </c>
      <c r="F34" s="57" t="s">
        <v>275</v>
      </c>
      <c r="G34" s="51" t="s">
        <v>291</v>
      </c>
      <c r="H34" s="52" t="s">
        <v>190</v>
      </c>
      <c r="I34" s="7" t="s">
        <v>392</v>
      </c>
    </row>
    <row r="35" customFormat="false" ht="15" hidden="false" customHeight="false" outlineLevel="0" collapsed="false">
      <c r="A35" s="58" t="s">
        <v>326</v>
      </c>
      <c r="B35" s="51" t="s">
        <v>351</v>
      </c>
      <c r="C35" s="52" t="s">
        <v>194</v>
      </c>
      <c r="D35" s="7" t="s">
        <v>392</v>
      </c>
      <c r="F35" s="57" t="s">
        <v>275</v>
      </c>
      <c r="G35" s="51" t="s">
        <v>294</v>
      </c>
      <c r="H35" s="52" t="s">
        <v>265</v>
      </c>
      <c r="I35" s="7" t="s">
        <v>392</v>
      </c>
    </row>
    <row r="36" customFormat="false" ht="15" hidden="false" customHeight="false" outlineLevel="0" collapsed="false">
      <c r="A36" s="60" t="s">
        <v>353</v>
      </c>
      <c r="B36" s="51" t="s">
        <v>363</v>
      </c>
      <c r="C36" s="52" t="s">
        <v>253</v>
      </c>
      <c r="D36" s="7" t="s">
        <v>392</v>
      </c>
      <c r="F36" s="56" t="s">
        <v>302</v>
      </c>
      <c r="G36" s="51" t="s">
        <v>396</v>
      </c>
      <c r="H36" s="52" t="s">
        <v>290</v>
      </c>
      <c r="I36" s="7" t="s">
        <v>392</v>
      </c>
    </row>
    <row r="37" customFormat="false" ht="15" hidden="false" customHeight="false" outlineLevel="0" collapsed="false">
      <c r="A37" s="60" t="s">
        <v>353</v>
      </c>
      <c r="B37" s="51" t="s">
        <v>361</v>
      </c>
      <c r="C37" s="52" t="s">
        <v>214</v>
      </c>
      <c r="D37" s="7" t="s">
        <v>392</v>
      </c>
      <c r="F37" s="56" t="s">
        <v>302</v>
      </c>
      <c r="G37" s="51" t="s">
        <v>308</v>
      </c>
      <c r="H37" s="52" t="s">
        <v>145</v>
      </c>
      <c r="I37" s="7" t="s">
        <v>392</v>
      </c>
    </row>
    <row r="38" customFormat="false" ht="15" hidden="false" customHeight="false" outlineLevel="0" collapsed="false">
      <c r="F38" s="56" t="s">
        <v>302</v>
      </c>
      <c r="G38" s="51" t="s">
        <v>310</v>
      </c>
      <c r="H38" s="52" t="s">
        <v>181</v>
      </c>
      <c r="I38" s="7" t="s">
        <v>392</v>
      </c>
    </row>
    <row r="39" customFormat="false" ht="15" hidden="false" customHeight="false" outlineLevel="0" collapsed="false">
      <c r="F39" s="56" t="s">
        <v>302</v>
      </c>
      <c r="G39" s="51" t="s">
        <v>320</v>
      </c>
      <c r="H39" s="52" t="s">
        <v>150</v>
      </c>
      <c r="I39" s="7" t="s">
        <v>392</v>
      </c>
    </row>
    <row r="40" customFormat="false" ht="15" hidden="false" customHeight="false" outlineLevel="0" collapsed="false">
      <c r="F40" s="58" t="s">
        <v>326</v>
      </c>
      <c r="G40" s="51" t="s">
        <v>327</v>
      </c>
      <c r="H40" s="52" t="s">
        <v>181</v>
      </c>
      <c r="I40" s="7" t="s">
        <v>392</v>
      </c>
    </row>
    <row r="41" customFormat="false" ht="15" hidden="false" customHeight="false" outlineLevel="0" collapsed="false">
      <c r="F41" s="58" t="s">
        <v>326</v>
      </c>
      <c r="G41" s="51" t="s">
        <v>334</v>
      </c>
      <c r="H41" s="52" t="s">
        <v>129</v>
      </c>
      <c r="I41" s="7" t="s">
        <v>392</v>
      </c>
    </row>
    <row r="42" customFormat="false" ht="15" hidden="false" customHeight="false" outlineLevel="0" collapsed="false">
      <c r="F42" s="58" t="s">
        <v>326</v>
      </c>
      <c r="G42" s="51" t="s">
        <v>336</v>
      </c>
      <c r="H42" s="52" t="s">
        <v>153</v>
      </c>
      <c r="I42" s="7" t="s">
        <v>392</v>
      </c>
    </row>
  </sheetData>
  <mergeCells count="5">
    <mergeCell ref="A1:D1"/>
    <mergeCell ref="F1:I1"/>
    <mergeCell ref="K1:N1"/>
    <mergeCell ref="P1:S1"/>
    <mergeCell ref="K20:N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F06"/>
    <pageSetUpPr fitToPage="false"/>
  </sheetPr>
  <dimension ref="A1:C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30"/>
  </cols>
  <sheetData>
    <row r="1" customFormat="false" ht="18.55" hidden="false" customHeight="true" outlineLevel="0" collapsed="false">
      <c r="A1" s="63" t="s">
        <v>397</v>
      </c>
      <c r="B1" s="63"/>
      <c r="C1" s="63"/>
    </row>
    <row r="3" customFormat="false" ht="15" hidden="false" customHeight="true" outlineLevel="0" collapsed="false">
      <c r="A3" s="64" t="s">
        <v>398</v>
      </c>
      <c r="B3" s="64"/>
      <c r="C3" s="64"/>
    </row>
    <row r="4" customFormat="false" ht="27.75" hidden="false" customHeight="true" outlineLevel="0" collapsed="false">
      <c r="A4" s="65" t="s">
        <v>399</v>
      </c>
      <c r="B4" s="9" t="s">
        <v>400</v>
      </c>
      <c r="C4" s="9"/>
    </row>
    <row r="5" customFormat="false" ht="27.75" hidden="false" customHeight="true" outlineLevel="0" collapsed="false">
      <c r="A5" s="65" t="s">
        <v>401</v>
      </c>
      <c r="B5" s="9" t="s">
        <v>402</v>
      </c>
      <c r="C5" s="9"/>
    </row>
    <row r="6" customFormat="false" ht="27.75" hidden="false" customHeight="true" outlineLevel="0" collapsed="false">
      <c r="A6" s="65" t="s">
        <v>403</v>
      </c>
      <c r="B6" s="9" t="s">
        <v>404</v>
      </c>
      <c r="C6" s="9"/>
    </row>
    <row r="7" customFormat="false" ht="27.75" hidden="false" customHeight="true" outlineLevel="0" collapsed="false">
      <c r="A7" s="65" t="s">
        <v>405</v>
      </c>
      <c r="B7" s="9" t="s">
        <v>406</v>
      </c>
      <c r="C7" s="9"/>
    </row>
    <row r="8" customFormat="false" ht="27.75" hidden="false" customHeight="true" outlineLevel="0" collapsed="false">
      <c r="A8" s="65" t="s">
        <v>407</v>
      </c>
      <c r="B8" s="9" t="s">
        <v>408</v>
      </c>
      <c r="C8" s="9"/>
    </row>
    <row r="9" customFormat="false" ht="27.75" hidden="false" customHeight="true" outlineLevel="0" collapsed="false">
      <c r="A9" s="65" t="s">
        <v>409</v>
      </c>
      <c r="B9" s="9" t="s">
        <v>410</v>
      </c>
      <c r="C9" s="9"/>
    </row>
    <row r="11" customFormat="false" ht="15" hidden="false" customHeight="true" outlineLevel="0" collapsed="false">
      <c r="A11" s="66" t="s">
        <v>411</v>
      </c>
      <c r="B11" s="66"/>
      <c r="C11" s="66"/>
    </row>
    <row r="12" customFormat="false" ht="27.75" hidden="false" customHeight="true" outlineLevel="0" collapsed="false">
      <c r="A12" s="65" t="s">
        <v>412</v>
      </c>
      <c r="B12" s="9" t="s">
        <v>413</v>
      </c>
      <c r="C12" s="9"/>
    </row>
    <row r="13" customFormat="false" ht="27.75" hidden="false" customHeight="true" outlineLevel="0" collapsed="false">
      <c r="A13" s="65" t="s">
        <v>414</v>
      </c>
      <c r="B13" s="9" t="s">
        <v>415</v>
      </c>
      <c r="C13" s="9"/>
    </row>
    <row r="14" customFormat="false" ht="27.75" hidden="false" customHeight="true" outlineLevel="0" collapsed="false">
      <c r="A14" s="65" t="s">
        <v>416</v>
      </c>
      <c r="B14" s="9" t="s">
        <v>417</v>
      </c>
      <c r="C14" s="9"/>
    </row>
    <row r="15" customFormat="false" ht="27.75" hidden="false" customHeight="true" outlineLevel="0" collapsed="false">
      <c r="A15" s="65" t="s">
        <v>418</v>
      </c>
      <c r="B15" s="9" t="s">
        <v>419</v>
      </c>
      <c r="C15" s="9"/>
    </row>
    <row r="16" customFormat="false" ht="27.75" hidden="false" customHeight="true" outlineLevel="0" collapsed="false">
      <c r="A16" s="65" t="s">
        <v>420</v>
      </c>
      <c r="B16" s="9" t="s">
        <v>421</v>
      </c>
      <c r="C16" s="9"/>
    </row>
    <row r="17" customFormat="false" ht="27.75" hidden="false" customHeight="true" outlineLevel="0" collapsed="false">
      <c r="A17" s="65" t="s">
        <v>422</v>
      </c>
      <c r="B17" s="9" t="s">
        <v>423</v>
      </c>
      <c r="C17" s="9"/>
    </row>
    <row r="19" customFormat="false" ht="15" hidden="false" customHeight="true" outlineLevel="0" collapsed="false">
      <c r="A19" s="67" t="s">
        <v>424</v>
      </c>
      <c r="B19" s="67"/>
      <c r="C19" s="67"/>
    </row>
    <row r="20" customFormat="false" ht="27.75" hidden="false" customHeight="true" outlineLevel="0" collapsed="false">
      <c r="A20" s="65" t="s">
        <v>425</v>
      </c>
      <c r="B20" s="9" t="s">
        <v>426</v>
      </c>
      <c r="C20" s="9"/>
    </row>
    <row r="21" customFormat="false" ht="27.75" hidden="false" customHeight="true" outlineLevel="0" collapsed="false">
      <c r="A21" s="65" t="s">
        <v>427</v>
      </c>
      <c r="B21" s="9" t="s">
        <v>428</v>
      </c>
      <c r="C21" s="9"/>
    </row>
    <row r="22" customFormat="false" ht="27.75" hidden="false" customHeight="true" outlineLevel="0" collapsed="false">
      <c r="A22" s="65" t="s">
        <v>429</v>
      </c>
      <c r="B22" s="9" t="s">
        <v>430</v>
      </c>
      <c r="C22" s="9"/>
    </row>
    <row r="23" customFormat="false" ht="27.75" hidden="false" customHeight="true" outlineLevel="0" collapsed="false">
      <c r="A23" s="65" t="s">
        <v>401</v>
      </c>
      <c r="B23" s="9" t="s">
        <v>431</v>
      </c>
      <c r="C23" s="9"/>
    </row>
    <row r="24" customFormat="false" ht="27.75" hidden="false" customHeight="true" outlineLevel="0" collapsed="false">
      <c r="A24" s="65" t="s">
        <v>432</v>
      </c>
      <c r="B24" s="9" t="s">
        <v>433</v>
      </c>
      <c r="C24" s="9"/>
    </row>
    <row r="25" customFormat="false" ht="27.75" hidden="false" customHeight="true" outlineLevel="0" collapsed="false">
      <c r="A25" s="65" t="s">
        <v>434</v>
      </c>
      <c r="B25" s="9" t="s">
        <v>435</v>
      </c>
      <c r="C25" s="9"/>
    </row>
    <row r="26" customFormat="false" ht="27.75" hidden="false" customHeight="true" outlineLevel="0" collapsed="false">
      <c r="A26" s="65" t="s">
        <v>436</v>
      </c>
      <c r="B26" s="9" t="s">
        <v>437</v>
      </c>
      <c r="C26" s="9"/>
    </row>
    <row r="27" customFormat="false" ht="27.75" hidden="false" customHeight="true" outlineLevel="0" collapsed="false">
      <c r="A27" s="65" t="s">
        <v>438</v>
      </c>
      <c r="B27" s="9" t="s">
        <v>439</v>
      </c>
      <c r="C27" s="9"/>
    </row>
    <row r="29" customFormat="false" ht="15" hidden="false" customHeight="true" outlineLevel="0" collapsed="false">
      <c r="A29" s="68" t="s">
        <v>440</v>
      </c>
      <c r="B29" s="68"/>
      <c r="C29" s="68"/>
    </row>
    <row r="30" customFormat="false" ht="27.75" hidden="false" customHeight="true" outlineLevel="0" collapsed="false">
      <c r="A30" s="65" t="s">
        <v>441</v>
      </c>
      <c r="B30" s="9" t="s">
        <v>442</v>
      </c>
      <c r="C30" s="9"/>
    </row>
    <row r="31" customFormat="false" ht="27.75" hidden="false" customHeight="true" outlineLevel="0" collapsed="false">
      <c r="A31" s="65" t="s">
        <v>443</v>
      </c>
      <c r="B31" s="9" t="s">
        <v>444</v>
      </c>
      <c r="C31" s="9"/>
    </row>
    <row r="32" customFormat="false" ht="27.75" hidden="false" customHeight="true" outlineLevel="0" collapsed="false">
      <c r="A32" s="65" t="s">
        <v>445</v>
      </c>
      <c r="B32" s="9" t="s">
        <v>446</v>
      </c>
      <c r="C32" s="9"/>
    </row>
    <row r="33" customFormat="false" ht="27.75" hidden="false" customHeight="true" outlineLevel="0" collapsed="false">
      <c r="A33" s="65" t="s">
        <v>447</v>
      </c>
      <c r="B33" s="9" t="s">
        <v>448</v>
      </c>
      <c r="C33" s="9"/>
    </row>
    <row r="34" customFormat="false" ht="27.75" hidden="false" customHeight="true" outlineLevel="0" collapsed="false">
      <c r="A34" s="65" t="s">
        <v>449</v>
      </c>
      <c r="B34" s="9" t="s">
        <v>450</v>
      </c>
      <c r="C34" s="9"/>
    </row>
    <row r="36" customFormat="false" ht="15" hidden="false" customHeight="true" outlineLevel="0" collapsed="false">
      <c r="A36" s="69" t="s">
        <v>451</v>
      </c>
      <c r="B36" s="69"/>
      <c r="C36" s="69"/>
    </row>
    <row r="37" customFormat="false" ht="27.75" hidden="false" customHeight="true" outlineLevel="0" collapsed="false">
      <c r="A37" s="65" t="s">
        <v>452</v>
      </c>
      <c r="B37" s="9" t="s">
        <v>453</v>
      </c>
      <c r="C37" s="9"/>
    </row>
    <row r="38" customFormat="false" ht="27.75" hidden="false" customHeight="true" outlineLevel="0" collapsed="false">
      <c r="A38" s="65" t="s">
        <v>454</v>
      </c>
      <c r="B38" s="9" t="s">
        <v>455</v>
      </c>
      <c r="C38" s="9"/>
    </row>
    <row r="39" customFormat="false" ht="27.75" hidden="false" customHeight="true" outlineLevel="0" collapsed="false">
      <c r="A39" s="65" t="s">
        <v>456</v>
      </c>
      <c r="B39" s="9" t="s">
        <v>457</v>
      </c>
      <c r="C39" s="9"/>
    </row>
    <row r="40" customFormat="false" ht="27.75" hidden="false" customHeight="true" outlineLevel="0" collapsed="false">
      <c r="A40" s="65" t="s">
        <v>458</v>
      </c>
      <c r="B40" s="9" t="s">
        <v>459</v>
      </c>
      <c r="C40" s="9"/>
    </row>
    <row r="41" customFormat="false" ht="27.75" hidden="false" customHeight="true" outlineLevel="0" collapsed="false">
      <c r="A41" s="65" t="s">
        <v>460</v>
      </c>
      <c r="B41" s="9" t="s">
        <v>461</v>
      </c>
      <c r="C41" s="9"/>
    </row>
  </sheetData>
  <mergeCells count="36">
    <mergeCell ref="A1:C1"/>
    <mergeCell ref="A3:C3"/>
    <mergeCell ref="B4:C4"/>
    <mergeCell ref="B5:C5"/>
    <mergeCell ref="B6:C6"/>
    <mergeCell ref="B7:C7"/>
    <mergeCell ref="B8:C8"/>
    <mergeCell ref="B9:C9"/>
    <mergeCell ref="A11:C11"/>
    <mergeCell ref="B12:C12"/>
    <mergeCell ref="B13:C13"/>
    <mergeCell ref="B14:C14"/>
    <mergeCell ref="B15:C15"/>
    <mergeCell ref="B16:C16"/>
    <mergeCell ref="B17:C17"/>
    <mergeCell ref="A19:C19"/>
    <mergeCell ref="B20:C20"/>
    <mergeCell ref="B21:C21"/>
    <mergeCell ref="B22:C22"/>
    <mergeCell ref="B23:C23"/>
    <mergeCell ref="B24:C24"/>
    <mergeCell ref="B25:C25"/>
    <mergeCell ref="B26:C26"/>
    <mergeCell ref="B27:C27"/>
    <mergeCell ref="A29:C29"/>
    <mergeCell ref="B30:C30"/>
    <mergeCell ref="B31:C31"/>
    <mergeCell ref="B32:C32"/>
    <mergeCell ref="B33:C33"/>
    <mergeCell ref="B34:C34"/>
    <mergeCell ref="A36:C36"/>
    <mergeCell ref="B37:C37"/>
    <mergeCell ref="B38:C38"/>
    <mergeCell ref="B39:C39"/>
    <mergeCell ref="B40:C40"/>
    <mergeCell ref="B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7333"/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4"/>
  </cols>
  <sheetData>
    <row r="1" customFormat="false" ht="17.35" hidden="false" customHeight="false" outlineLevel="0" collapsed="false">
      <c r="A1" s="70" t="s">
        <v>462</v>
      </c>
      <c r="B1" s="70"/>
    </row>
    <row r="2" customFormat="false" ht="15" hidden="false" customHeight="false" outlineLevel="0" collapsed="false">
      <c r="A2" s="71" t="s">
        <v>463</v>
      </c>
      <c r="B2" s="71"/>
    </row>
    <row r="4" customFormat="false" ht="31.5" hidden="false" customHeight="true" outlineLevel="0" collapsed="false">
      <c r="A4" s="72" t="s">
        <v>464</v>
      </c>
      <c r="B4" s="73" t="s">
        <v>465</v>
      </c>
    </row>
    <row r="5" customFormat="false" ht="31.5" hidden="false" customHeight="true" outlineLevel="0" collapsed="false">
      <c r="A5" s="72" t="s">
        <v>466</v>
      </c>
      <c r="B5" s="73" t="s">
        <v>467</v>
      </c>
    </row>
    <row r="6" customFormat="false" ht="31.5" hidden="false" customHeight="true" outlineLevel="0" collapsed="false">
      <c r="A6" s="72" t="s">
        <v>468</v>
      </c>
      <c r="B6" s="73" t="s">
        <v>469</v>
      </c>
    </row>
    <row r="7" customFormat="false" ht="31.5" hidden="false" customHeight="true" outlineLevel="0" collapsed="false">
      <c r="A7" s="72" t="s">
        <v>470</v>
      </c>
      <c r="B7" s="73" t="s">
        <v>471</v>
      </c>
    </row>
    <row r="8" customFormat="false" ht="31.5" hidden="false" customHeight="true" outlineLevel="0" collapsed="false">
      <c r="A8" s="72" t="s">
        <v>472</v>
      </c>
      <c r="B8" s="73" t="s">
        <v>473</v>
      </c>
    </row>
    <row r="9" customFormat="false" ht="31.5" hidden="false" customHeight="true" outlineLevel="0" collapsed="false">
      <c r="A9" s="72" t="s">
        <v>474</v>
      </c>
      <c r="B9" s="73" t="s">
        <v>475</v>
      </c>
    </row>
    <row r="10" customFormat="false" ht="31.5" hidden="false" customHeight="true" outlineLevel="0" collapsed="false">
      <c r="A10" s="72" t="s">
        <v>476</v>
      </c>
      <c r="B10" s="73" t="s">
        <v>477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2026-09-04T02:22:35Z</dcterms:created>
  <dc:creator>openpyxl</dc:creator>
  <dc:description/>
  <dc:language>en-US</dc:language>
  <cp:lastModifiedBy/>
  <dcterms:modified xsi:type="dcterms:W3CDTF">2026-09-04T02:22:35Z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